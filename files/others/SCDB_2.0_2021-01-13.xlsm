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ЭтаКнига" defaultThemeVersion="164011"/>
  <bookViews>
    <workbookView xWindow="0" yWindow="0" windowWidth="22260" windowHeight="12645" activeTab="1"/>
  </bookViews>
  <sheets>
    <sheet name="SC delivery date" sheetId="12" r:id="rId1"/>
    <sheet name="Fermator checklist" sheetId="11" r:id="rId2"/>
    <sheet name="guide rails" sheetId="2" r:id="rId3"/>
    <sheet name="EvoLite HU" sheetId="15" r:id="rId4"/>
    <sheet name="simplycity HU" sheetId="16" r:id="rId5"/>
    <sheet name="mrl loads" sheetId="13" r:id="rId6"/>
    <sheet name="compensation chain" sheetId="17" r:id="rId7"/>
    <sheet name="mrl WH actual weight" sheetId="5" r:id="rId8"/>
    <sheet name="mrl cars analysis" sheetId="19" r:id="rId9"/>
    <sheet name="CWT 200 filler calc" sheetId="7" r:id="rId10"/>
    <sheet name="CWT 150 filler calc" sheetId="18" r:id="rId11"/>
    <sheet name="TM" sheetId="20" r:id="rId12"/>
    <sheet name="mr TM" sheetId="8" r:id="rId13"/>
    <sheet name="mrl TLD" sheetId="14" r:id="rId14"/>
  </sheets>
  <externalReferences>
    <externalReference r:id="rId15"/>
    <externalReference r:id="rId16"/>
    <externalReference r:id="rId17"/>
    <externalReference r:id="rId18"/>
  </externalReferences>
  <definedNames>
    <definedName name="_2_4_створчатые" localSheetId="11">'[1]Fermator checklist'!$M$44:$M$45</definedName>
    <definedName name="_2_4_створчатые">'Fermator checklist'!$M$44:$M$45</definedName>
    <definedName name="_2_створчатые" localSheetId="11">'[1]Fermator checklist'!$M$44</definedName>
    <definedName name="_2_створчатые">'Fermator checklist'!$M$44</definedName>
    <definedName name="_xlnm._FilterDatabase" localSheetId="8" hidden="1">'mrl cars analysis'!$B$3:$AB$83</definedName>
    <definedName name="Seillaenge_2zu1_A" localSheetId="13">'[2]2zu1'!$AK$12</definedName>
    <definedName name="Seillaenge_2zu1_A">'[3]2zu1'!$AK$12</definedName>
    <definedName name="Seillaenge_2zu1_AL" localSheetId="13">'[2]2zu1'!$AK$10</definedName>
    <definedName name="Seillaenge_2zu1_AL">'[3]2zu1'!$AK$10</definedName>
    <definedName name="Seillaenge_2zu1_Anzahl_Seile" localSheetId="13">'[2]2zu1'!$AB$42</definedName>
    <definedName name="Seillaenge_2zu1_Anzahl_Seile">'[3]2zu1'!$AB$42</definedName>
    <definedName name="Seillaenge_2zu1_Anzahl_Unterseile" localSheetId="13">'[2]2zu1'!$AB$51</definedName>
    <definedName name="Seillaenge_2zu1_Anzahl_Unterseile">'[3]2zu1'!$AB$51</definedName>
    <definedName name="Seillaenge_2zu1_ASL" localSheetId="13">'[2]2zu1'!$J$13</definedName>
    <definedName name="Seillaenge_2zu1_ASL">'[3]2zu1'!$J$13</definedName>
    <definedName name="Seillaenge_2zu1_AuswahlZuschlagTragseillaenge" localSheetId="13">'[2]2zu1'!$AK$19</definedName>
    <definedName name="Seillaenge_2zu1_AuswahlZuschlagTragseillaenge">'[3]2zu1'!$AK$19</definedName>
    <definedName name="Seillaenge_2zu1_B" localSheetId="13">'[2]2zu1'!$AK$14</definedName>
    <definedName name="Seillaenge_2zu1_B">'[3]2zu1'!$AK$14</definedName>
    <definedName name="Seillaenge_2zu1_Begr_Seil" localSheetId="13">'[2]2zu1'!$AB$31</definedName>
    <definedName name="Seillaenge_2zu1_Begr_Seil">'[3]2zu1'!$AB$31</definedName>
    <definedName name="Seillaenge_2zu1_C" localSheetId="13">'[2]2zu1'!$AK$8</definedName>
    <definedName name="Seillaenge_2zu1_C">'[3]2zu1'!$AK$8</definedName>
    <definedName name="Seillaenge_2zu1_DE" localSheetId="13">'[2]2zu1'!$AK$11</definedName>
    <definedName name="Seillaenge_2zu1_DE">'[3]2zu1'!$AK$11</definedName>
    <definedName name="Seillaenge_2zu1_Decke" localSheetId="13">'[2]2zu1'!$W$8</definedName>
    <definedName name="Seillaenge_2zu1_Decke">'[3]2zu1'!$W$8</definedName>
    <definedName name="Seillaenge_2zu1_DFR" localSheetId="13">'[2]2zu1'!$K$17</definedName>
    <definedName name="Seillaenge_2zu1_DFR">'[3]2zu1'!$K$17</definedName>
    <definedName name="Seillaenge_2zu1_DGG" localSheetId="13">'[2]2zu1'!$K$32</definedName>
    <definedName name="Seillaenge_2zu1_DGG">'[3]2zu1'!$K$32</definedName>
    <definedName name="Seillaenge_2zu1_DT" localSheetId="13">'[2]2zu1'!$G$6</definedName>
    <definedName name="Seillaenge_2zu1_DT">'[3]2zu1'!$G$6</definedName>
    <definedName name="Seillaenge_2zu1_DU" localSheetId="13">'[2]2zu1'!$G$7</definedName>
    <definedName name="Seillaenge_2zu1_DU">'[3]2zu1'!$G$7</definedName>
    <definedName name="Seillaenge_2zu1_DUspv" localSheetId="13">'[2]2zu1'!$K$43</definedName>
    <definedName name="Seillaenge_2zu1_DUspv">'[3]2zu1'!$K$43</definedName>
    <definedName name="Seillaenge_2zu1_E" localSheetId="13">'[2]2zu1'!$AK$7</definedName>
    <definedName name="Seillaenge_2zu1_E">'[3]2zu1'!$AK$7</definedName>
    <definedName name="Seillaenge_2zu1_F" localSheetId="13">'[2]2zu1'!$AK$13</definedName>
    <definedName name="Seillaenge_2zu1_F">'[3]2zu1'!$AK$13</definedName>
    <definedName name="Seillaenge_2zu1_G" localSheetId="13">'[2]2zu1'!$AK$15</definedName>
    <definedName name="Seillaenge_2zu1_G">'[3]2zu1'!$AK$15</definedName>
    <definedName name="Seillaenge_2zu1_GGH" localSheetId="13">'[2]2zu1'!$D$42</definedName>
    <definedName name="Seillaenge_2zu1_GGH">'[3]2zu1'!$D$42</definedName>
    <definedName name="Seillaenge_2zu1_KH" localSheetId="13">'[2]2zu1'!$W$20</definedName>
    <definedName name="Seillaenge_2zu1_KH">'[3]2zu1'!$W$20</definedName>
    <definedName name="Seillaenge_2zu1_L" localSheetId="13">'[2]2zu1'!$AK$9</definedName>
    <definedName name="Seillaenge_2zu1_L">'[3]2zu1'!$AK$9</definedName>
    <definedName name="Seillaenge_2zu1_N" localSheetId="13">'[2]2zu1'!$S$8</definedName>
    <definedName name="Seillaenge_2zu1_N">'[3]2zu1'!$S$8</definedName>
    <definedName name="Seillaenge_2zu1_RA" localSheetId="13">'[2]2zu1'!$O$19</definedName>
    <definedName name="Seillaenge_2zu1_RA">'[3]2zu1'!$O$19</definedName>
    <definedName name="Seillaenge_2zu1_Rolle_bis_FK" localSheetId="13">'[2]2zu1'!$W$16</definedName>
    <definedName name="Seillaenge_2zu1_Rolle_bis_FK">'[3]2zu1'!$W$16</definedName>
    <definedName name="Seillaenge_2zu1_SAB" localSheetId="13">'[2]2zu1'!$K$46</definedName>
    <definedName name="Seillaenge_2zu1_SAB">'[3]2zu1'!$K$46</definedName>
    <definedName name="Seillaenge_2zu1_Seil_Maschinenraum" localSheetId="13">'[2]2zu1'!$AK$17</definedName>
    <definedName name="Seillaenge_2zu1_Seil_Maschinenraum">'[3]2zu1'!$AK$17</definedName>
    <definedName name="Seillaenge_2zu1_SH" localSheetId="13">'[2]2zu1'!$B$29</definedName>
    <definedName name="Seillaenge_2zu1_SH">'[3]2zu1'!$B$29</definedName>
    <definedName name="Seillaenge_2zu1_SHx2" localSheetId="13">'[2]2zu1'!$AB$29</definedName>
    <definedName name="Seillaenge_2zu1_SHx2">'[3]2zu1'!$AB$29</definedName>
    <definedName name="Seillaenge_2zu1_SK" localSheetId="13">'[2]2zu1'!$Y$18</definedName>
    <definedName name="Seillaenge_2zu1_SK">'[3]2zu1'!$Y$18</definedName>
    <definedName name="Seillaenge_2zu1_SUBoden" localSheetId="13">'[2]2zu1'!$Q$46</definedName>
    <definedName name="Seillaenge_2zu1_SUBoden">'[3]2zu1'!$Q$46</definedName>
    <definedName name="Seillaenge_2zu1_SUGG" localSheetId="13">'[2]2zu1'!$S$47</definedName>
    <definedName name="Seillaenge_2zu1_SUGG">'[3]2zu1'!$S$47</definedName>
    <definedName name="Seillaenge_2zu1_Tragseil" localSheetId="13">'[2]2zu1'!$AB$41</definedName>
    <definedName name="Seillaenge_2zu1_Tragseil">'[3]2zu1'!$AB$41</definedName>
    <definedName name="Seillaenge_2zu1_Umschlingung" localSheetId="13">'[2]2zu1'!$AK$16</definedName>
    <definedName name="Seillaenge_2zu1_Umschlingung">'[3]2zu1'!$AK$16</definedName>
    <definedName name="Seillaenge_2zu1_Umschlingungswinkel" localSheetId="13">'[2]2zu1'!$AK$18</definedName>
    <definedName name="Seillaenge_2zu1_Umschlingungswinkel">'[3]2zu1'!$AK$18</definedName>
    <definedName name="Seillaenge_2zu1_Unterseil" localSheetId="13">'[2]2zu1'!$AB$50</definedName>
    <definedName name="Seillaenge_2zu1_Unterseil">'[3]2zu1'!$AB$50</definedName>
    <definedName name="Seillaenge_2zu1_X" localSheetId="13">'[2]2zu1'!$AK$6</definedName>
    <definedName name="Seillaenge_2zu1_X">'[3]2zu1'!$AK$6</definedName>
    <definedName name="Seillaenge_2zu1_Y" localSheetId="13">'[2]2zu1'!$Q$7</definedName>
    <definedName name="Seillaenge_2zu1_Y">'[3]2zu1'!$Q$7</definedName>
    <definedName name="Seillaenge_2zu1oA_Anzahl_Seile" localSheetId="13">'[2]2zu1oA'!$AB$42</definedName>
    <definedName name="Seillaenge_2zu1oA_Anzahl_Seile">'[3]2zu1oA'!$AB$42</definedName>
    <definedName name="Seillaenge_2zu1oA_Anzahl_Unterseile" localSheetId="13">'[2]2zu1oA'!$AB$51</definedName>
    <definedName name="Seillaenge_2zu1oA_Anzahl_Unterseile">'[3]2zu1oA'!$AB$51</definedName>
    <definedName name="Seillaenge_2zu1oA_AuswahlZuschlagTragseillaenge" localSheetId="13">'[2]2zu1oA'!$AP$33</definedName>
    <definedName name="Seillaenge_2zu1oA_AuswahlZuschlagTragseillaenge">'[3]2zu1oA'!$AP$33</definedName>
    <definedName name="Seillaenge_2zu1oA_Begr_Seil" localSheetId="13">'[2]2zu1oA'!$AB$31</definedName>
    <definedName name="Seillaenge_2zu1oA_Begr_Seil">'[3]2zu1oA'!$AB$31</definedName>
    <definedName name="Seillaenge_2zu1oA_Decke" localSheetId="13">'[2]2zu1oA'!$W$8</definedName>
    <definedName name="Seillaenge_2zu1oA_Decke">'[3]2zu1oA'!$W$8</definedName>
    <definedName name="Seillaenge_2zu1oA_DFR" localSheetId="13">'[2]2zu1oA'!$K$17</definedName>
    <definedName name="Seillaenge_2zu1oA_DFR">'[3]2zu1oA'!$K$17</definedName>
    <definedName name="Seillaenge_2zu1oA_DGG" localSheetId="13">'[2]2zu1oA'!$K$32</definedName>
    <definedName name="Seillaenge_2zu1oA_DGG">'[3]2zu1oA'!$K$32</definedName>
    <definedName name="Seillaenge_2zu1oA_DT" localSheetId="13">'[2]2zu1oA'!$G$6</definedName>
    <definedName name="Seillaenge_2zu1oA_DT">'[3]2zu1oA'!$G$6</definedName>
    <definedName name="Seillaenge_2zu1oA_DUspv" localSheetId="13">'[2]2zu1oA'!$K$43</definedName>
    <definedName name="Seillaenge_2zu1oA_DUspv">'[3]2zu1oA'!$K$43</definedName>
    <definedName name="Seillaenge_2zu1oA_GGH" localSheetId="13">'[2]2zu1oA'!$D$42</definedName>
    <definedName name="Seillaenge_2zu1oA_GGH">'[3]2zu1oA'!$D$42</definedName>
    <definedName name="Seillaenge_2zu1oA_KH" localSheetId="13">'[2]2zu1oA'!$W$20</definedName>
    <definedName name="Seillaenge_2zu1oA_KH">'[3]2zu1oA'!$W$20</definedName>
    <definedName name="Seillaenge_2zu1oA_N" localSheetId="13">'[2]2zu1oA'!$S$9</definedName>
    <definedName name="Seillaenge_2zu1oA_N">'[3]2zu1oA'!$S$9</definedName>
    <definedName name="Seillaenge_2zu1oA_RA" localSheetId="13">'[2]2zu1oA'!$O$19</definedName>
    <definedName name="Seillaenge_2zu1oA_RA">'[3]2zu1oA'!$O$19</definedName>
    <definedName name="Seillaenge_2zu1oA_Rolle_bis_FK" localSheetId="13">'[2]2zu1oA'!$W$16</definedName>
    <definedName name="Seillaenge_2zu1oA_Rolle_bis_FK">'[3]2zu1oA'!$W$16</definedName>
    <definedName name="Seillaenge_2zu1oA_SAB" localSheetId="13">'[2]2zu1oA'!$K$46</definedName>
    <definedName name="Seillaenge_2zu1oA_SAB">'[3]2zu1oA'!$K$46</definedName>
    <definedName name="Seillaenge_2zu1oA_SH" localSheetId="13">'[2]2zu1oA'!$B$29</definedName>
    <definedName name="Seillaenge_2zu1oA_SH">'[3]2zu1oA'!$B$29</definedName>
    <definedName name="Seillaenge_2zu1oA_SHx2" localSheetId="13">'[2]2zu1oA'!$AB$29</definedName>
    <definedName name="Seillaenge_2zu1oA_SHx2">'[3]2zu1oA'!$AB$29</definedName>
    <definedName name="Seillaenge_2zu1oA_SK" localSheetId="13">'[2]2zu1oA'!$Y$18</definedName>
    <definedName name="Seillaenge_2zu1oA_SK">'[3]2zu1oA'!$Y$18</definedName>
    <definedName name="Seillaenge_2zu1oA_SUBoden" localSheetId="13">'[2]2zu1oA'!$Q$46</definedName>
    <definedName name="Seillaenge_2zu1oA_SUBoden">'[3]2zu1oA'!$Q$46</definedName>
    <definedName name="Seillaenge_2zu1oA_SUGG" localSheetId="13">'[2]2zu1oA'!$S$47</definedName>
    <definedName name="Seillaenge_2zu1oA_SUGG">'[3]2zu1oA'!$S$47</definedName>
    <definedName name="Seillaenge_2zu1oA_Tragseil" localSheetId="13">'[2]2zu1oA'!$AB$41</definedName>
    <definedName name="Seillaenge_2zu1oA_Tragseil">'[3]2zu1oA'!$AB$41</definedName>
    <definedName name="Seillaenge_2zu1oA_Unterseil" localSheetId="13">'[2]2zu1oA'!$AB$50</definedName>
    <definedName name="Seillaenge_2zu1oA_Unterseil">'[3]2zu1oA'!$AB$50</definedName>
    <definedName name="solver_adj" localSheetId="10" hidden="1">'CWT 150 filler calc'!$H$14:$H$16</definedName>
    <definedName name="solver_adj" localSheetId="9" hidden="1">'CWT 200 filler calc'!$H$14:$H$16</definedName>
    <definedName name="solver_cvg" localSheetId="10" hidden="1">0.0001</definedName>
    <definedName name="solver_cvg" localSheetId="9" hidden="1">0.0001</definedName>
    <definedName name="solver_drv" localSheetId="10" hidden="1">2</definedName>
    <definedName name="solver_drv" localSheetId="9" hidden="1">2</definedName>
    <definedName name="solver_eng" localSheetId="10" hidden="1">1</definedName>
    <definedName name="solver_eng" localSheetId="9" hidden="1">1</definedName>
    <definedName name="solver_est" localSheetId="10" hidden="1">1</definedName>
    <definedName name="solver_est" localSheetId="9" hidden="1">1</definedName>
    <definedName name="solver_itr" localSheetId="10" hidden="1">2147483647</definedName>
    <definedName name="solver_itr" localSheetId="9" hidden="1">2147483647</definedName>
    <definedName name="solver_lhs1" localSheetId="10" hidden="1">'CWT 150 filler calc'!$F$15</definedName>
    <definedName name="solver_lhs1" localSheetId="9" hidden="1">'CWT 200 filler calc'!$F$15</definedName>
    <definedName name="solver_lhs2" localSheetId="10" hidden="1">'CWT 150 filler calc'!$G$15</definedName>
    <definedName name="solver_lhs2" localSheetId="9" hidden="1">'CWT 200 filler calc'!$G$15</definedName>
    <definedName name="solver_lhs3" localSheetId="10" hidden="1">'CWT 150 filler calc'!$H$14:$H$16</definedName>
    <definedName name="solver_lhs3" localSheetId="9" hidden="1">'CWT 200 filler calc'!$H$14:$H$16</definedName>
    <definedName name="solver_mip" localSheetId="10" hidden="1">2147483647</definedName>
    <definedName name="solver_mip" localSheetId="9" hidden="1">2147483647</definedName>
    <definedName name="solver_mni" localSheetId="10" hidden="1">30</definedName>
    <definedName name="solver_mni" localSheetId="9" hidden="1">30</definedName>
    <definedName name="solver_mrt" localSheetId="10" hidden="1">0.075</definedName>
    <definedName name="solver_mrt" localSheetId="9" hidden="1">0.075</definedName>
    <definedName name="solver_msl" localSheetId="10" hidden="1">2</definedName>
    <definedName name="solver_msl" localSheetId="9" hidden="1">2</definedName>
    <definedName name="solver_neg" localSheetId="10" hidden="1">1</definedName>
    <definedName name="solver_neg" localSheetId="9" hidden="1">1</definedName>
    <definedName name="solver_nod" localSheetId="10" hidden="1">2147483647</definedName>
    <definedName name="solver_nod" localSheetId="9" hidden="1">2147483647</definedName>
    <definedName name="solver_num" localSheetId="10" hidden="1">1</definedName>
    <definedName name="solver_num" localSheetId="9" hidden="1">2</definedName>
    <definedName name="solver_nwt" localSheetId="10" hidden="1">1</definedName>
    <definedName name="solver_nwt" localSheetId="9" hidden="1">1</definedName>
    <definedName name="solver_opt" localSheetId="10" hidden="1">'CWT 150 filler calc'!$D$15</definedName>
    <definedName name="solver_opt" localSheetId="9" hidden="1">'CWT 200 filler calc'!$D$15</definedName>
    <definedName name="solver_pre" localSheetId="10" hidden="1">0.000001</definedName>
    <definedName name="solver_pre" localSheetId="9" hidden="1">0.00001</definedName>
    <definedName name="solver_rbv" localSheetId="10" hidden="1">2</definedName>
    <definedName name="solver_rbv" localSheetId="9" hidden="1">2</definedName>
    <definedName name="solver_rel1" localSheetId="10" hidden="1">2</definedName>
    <definedName name="solver_rel1" localSheetId="9" hidden="1">2</definedName>
    <definedName name="solver_rel2" localSheetId="10" hidden="1">1</definedName>
    <definedName name="solver_rel2" localSheetId="9" hidden="1">1</definedName>
    <definedName name="solver_rel3" localSheetId="10" hidden="1">4</definedName>
    <definedName name="solver_rel3" localSheetId="9" hidden="1">4</definedName>
    <definedName name="solver_rhs1" localSheetId="10" hidden="1">+'CWT 150 filler calc'!$I$3-'CWT 150 filler calc'!$I$6</definedName>
    <definedName name="solver_rhs1" localSheetId="9" hidden="1">+'CWT 200 filler calc'!$I$3-'CWT 200 filler calc'!$I$6</definedName>
    <definedName name="solver_rhs2" localSheetId="10" hidden="1">'CWT 150 filler calc'!$I$9-40</definedName>
    <definedName name="solver_rhs2" localSheetId="9" hidden="1">'CWT 200 filler calc'!$I$9-40</definedName>
    <definedName name="solver_rhs3" localSheetId="10" hidden="1">целое</definedName>
    <definedName name="solver_rhs3" localSheetId="9" hidden="1">целое</definedName>
    <definedName name="solver_rlx" localSheetId="10" hidden="1">2</definedName>
    <definedName name="solver_rlx" localSheetId="9" hidden="1">2</definedName>
    <definedName name="solver_rsd" localSheetId="10" hidden="1">0</definedName>
    <definedName name="solver_rsd" localSheetId="9" hidden="1">0</definedName>
    <definedName name="solver_scl" localSheetId="10" hidden="1">2</definedName>
    <definedName name="solver_scl" localSheetId="9" hidden="1">2</definedName>
    <definedName name="solver_sho" localSheetId="10" hidden="1">2</definedName>
    <definedName name="solver_sho" localSheetId="9" hidden="1">2</definedName>
    <definedName name="solver_ssz" localSheetId="10" hidden="1">100</definedName>
    <definedName name="solver_ssz" localSheetId="9" hidden="1">100</definedName>
    <definedName name="solver_tim" localSheetId="10" hidden="1">2147483647</definedName>
    <definedName name="solver_tim" localSheetId="9" hidden="1">2147483647</definedName>
    <definedName name="solver_tol" localSheetId="10" hidden="1">0.01</definedName>
    <definedName name="solver_tol" localSheetId="9" hidden="1">0.01</definedName>
    <definedName name="solver_typ" localSheetId="10" hidden="1">2</definedName>
    <definedName name="solver_typ" localSheetId="9" hidden="1">2</definedName>
    <definedName name="solver_val" localSheetId="10" hidden="1">0</definedName>
    <definedName name="solver_val" localSheetId="9" hidden="1">0</definedName>
    <definedName name="solver_ver" localSheetId="10" hidden="1">3</definedName>
    <definedName name="solver_ver" localSheetId="9" hidden="1">3</definedName>
    <definedName name="двери_evo" localSheetId="11">'[1]Fermator checklist'!$G$44:$G$51</definedName>
    <definedName name="двери_evo">'Fermator checklist'!$G$44:$G$51</definedName>
    <definedName name="двери_sc" localSheetId="11">'[1]Fermator checklist'!$G$53:$G$56</definedName>
    <definedName name="двери_sc">'Fermator checklist'!$G$53:$G$56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1" l="1"/>
  <c r="C13" i="11"/>
  <c r="C15" i="11" l="1"/>
  <c r="O4" i="19" l="1"/>
  <c r="P4" i="19"/>
  <c r="Q4" i="19"/>
  <c r="O5" i="19"/>
  <c r="P5" i="19"/>
  <c r="Q5" i="19"/>
  <c r="O6" i="19"/>
  <c r="P6" i="19"/>
  <c r="Q6" i="19"/>
  <c r="O7" i="19"/>
  <c r="P7" i="19"/>
  <c r="Q7" i="19"/>
  <c r="O8" i="19"/>
  <c r="P8" i="19"/>
  <c r="Q8" i="19"/>
  <c r="O9" i="19"/>
  <c r="P9" i="19"/>
  <c r="Q9" i="19"/>
  <c r="O10" i="19"/>
  <c r="P10" i="19"/>
  <c r="Q10" i="19"/>
  <c r="O11" i="19"/>
  <c r="P11" i="19"/>
  <c r="Q11" i="19"/>
  <c r="O12" i="19"/>
  <c r="P12" i="19"/>
  <c r="Q12" i="19"/>
  <c r="O13" i="19"/>
  <c r="P13" i="19"/>
  <c r="Q13" i="19"/>
  <c r="O14" i="19"/>
  <c r="P14" i="19"/>
  <c r="Q14" i="19"/>
  <c r="O15" i="19"/>
  <c r="P15" i="19"/>
  <c r="Q15" i="19"/>
  <c r="O16" i="19"/>
  <c r="P16" i="19"/>
  <c r="Q16" i="19"/>
  <c r="O17" i="19"/>
  <c r="P17" i="19"/>
  <c r="Q17" i="19"/>
  <c r="O18" i="19"/>
  <c r="P18" i="19"/>
  <c r="Q18" i="19"/>
  <c r="O19" i="19"/>
  <c r="P19" i="19"/>
  <c r="Q19" i="19"/>
  <c r="O20" i="19"/>
  <c r="P20" i="19"/>
  <c r="Q20" i="19"/>
  <c r="O21" i="19"/>
  <c r="P21" i="19"/>
  <c r="Q21" i="19"/>
  <c r="O22" i="19"/>
  <c r="P22" i="19"/>
  <c r="Q22" i="19"/>
  <c r="O23" i="19"/>
  <c r="P23" i="19"/>
  <c r="Q23" i="19"/>
  <c r="O24" i="19"/>
  <c r="P24" i="19"/>
  <c r="Q24" i="19"/>
  <c r="O25" i="19"/>
  <c r="P25" i="19"/>
  <c r="Q25" i="19"/>
  <c r="O26" i="19"/>
  <c r="P26" i="19"/>
  <c r="Q26" i="19"/>
  <c r="O27" i="19"/>
  <c r="P27" i="19"/>
  <c r="Q27" i="19"/>
  <c r="O28" i="19"/>
  <c r="P28" i="19"/>
  <c r="Q28" i="19"/>
  <c r="O29" i="19"/>
  <c r="P29" i="19"/>
  <c r="Q29" i="19"/>
  <c r="O30" i="19"/>
  <c r="P30" i="19"/>
  <c r="Q30" i="19"/>
  <c r="O31" i="19"/>
  <c r="P31" i="19"/>
  <c r="Q31" i="19"/>
  <c r="O32" i="19"/>
  <c r="P32" i="19"/>
  <c r="Q32" i="19"/>
  <c r="O33" i="19"/>
  <c r="P33" i="19"/>
  <c r="Q33" i="19"/>
  <c r="O34" i="19"/>
  <c r="P34" i="19"/>
  <c r="Q34" i="19"/>
  <c r="O35" i="19"/>
  <c r="P35" i="19"/>
  <c r="Q35" i="19"/>
  <c r="O36" i="19"/>
  <c r="P36" i="19"/>
  <c r="Q36" i="19"/>
  <c r="O37" i="19"/>
  <c r="P37" i="19"/>
  <c r="Q37" i="19"/>
  <c r="O38" i="19"/>
  <c r="P38" i="19"/>
  <c r="Q38" i="19"/>
  <c r="O39" i="19"/>
  <c r="P39" i="19"/>
  <c r="Q39" i="19"/>
  <c r="O40" i="19"/>
  <c r="P40" i="19"/>
  <c r="Q40" i="19"/>
  <c r="O41" i="19"/>
  <c r="P41" i="19"/>
  <c r="Q41" i="19"/>
  <c r="O42" i="19"/>
  <c r="P42" i="19"/>
  <c r="Q42" i="19"/>
  <c r="O43" i="19"/>
  <c r="P43" i="19"/>
  <c r="Q43" i="19"/>
  <c r="L44" i="19"/>
  <c r="O44" i="19" s="1"/>
  <c r="P44" i="19"/>
  <c r="Q44" i="19"/>
  <c r="L45" i="19"/>
  <c r="O45" i="19" s="1"/>
  <c r="P45" i="19"/>
  <c r="Q45" i="19"/>
  <c r="L46" i="19"/>
  <c r="O46" i="19" s="1"/>
  <c r="P46" i="19"/>
  <c r="Q46" i="19"/>
  <c r="L47" i="19"/>
  <c r="O47" i="19" s="1"/>
  <c r="P47" i="19"/>
  <c r="Q47" i="19"/>
  <c r="L48" i="19"/>
  <c r="O48" i="19" s="1"/>
  <c r="P48" i="19"/>
  <c r="Q48" i="19"/>
  <c r="L49" i="19"/>
  <c r="O49" i="19" s="1"/>
  <c r="P49" i="19"/>
  <c r="Q49" i="19"/>
  <c r="L50" i="19"/>
  <c r="O50" i="19" s="1"/>
  <c r="P50" i="19"/>
  <c r="Q50" i="19"/>
  <c r="L51" i="19"/>
  <c r="O51" i="19" s="1"/>
  <c r="P51" i="19"/>
  <c r="Q51" i="19"/>
  <c r="L52" i="19"/>
  <c r="O52" i="19" s="1"/>
  <c r="P52" i="19"/>
  <c r="Q52" i="19"/>
  <c r="L53" i="19"/>
  <c r="O53" i="19" s="1"/>
  <c r="P53" i="19"/>
  <c r="Q53" i="19"/>
  <c r="L54" i="19"/>
  <c r="O54" i="19" s="1"/>
  <c r="P54" i="19"/>
  <c r="Q54" i="19"/>
  <c r="L55" i="19"/>
  <c r="O55" i="19" s="1"/>
  <c r="P55" i="19"/>
  <c r="Q55" i="19"/>
  <c r="L56" i="19"/>
  <c r="O56" i="19" s="1"/>
  <c r="P56" i="19"/>
  <c r="Q56" i="19"/>
  <c r="L57" i="19"/>
  <c r="O57" i="19" s="1"/>
  <c r="P57" i="19"/>
  <c r="Q57" i="19"/>
  <c r="L58" i="19"/>
  <c r="O58" i="19" s="1"/>
  <c r="P58" i="19"/>
  <c r="Q58" i="19"/>
  <c r="L59" i="19"/>
  <c r="O59" i="19" s="1"/>
  <c r="P59" i="19"/>
  <c r="Q59" i="19"/>
  <c r="L60" i="19"/>
  <c r="O60" i="19" s="1"/>
  <c r="P60" i="19"/>
  <c r="Q60" i="19"/>
  <c r="L61" i="19"/>
  <c r="O61" i="19" s="1"/>
  <c r="P61" i="19"/>
  <c r="Q61" i="19"/>
  <c r="L62" i="19"/>
  <c r="O62" i="19" s="1"/>
  <c r="P62" i="19"/>
  <c r="Q62" i="19"/>
  <c r="L63" i="19"/>
  <c r="O63" i="19" s="1"/>
  <c r="P63" i="19"/>
  <c r="Q63" i="19"/>
  <c r="L64" i="19"/>
  <c r="O64" i="19" s="1"/>
  <c r="P64" i="19"/>
  <c r="Q64" i="19"/>
  <c r="L65" i="19"/>
  <c r="O65" i="19" s="1"/>
  <c r="P65" i="19"/>
  <c r="Q65" i="19"/>
  <c r="L66" i="19"/>
  <c r="O66" i="19" s="1"/>
  <c r="P66" i="19"/>
  <c r="Q66" i="19"/>
  <c r="L67" i="19"/>
  <c r="O67" i="19" s="1"/>
  <c r="P67" i="19"/>
  <c r="Q67" i="19"/>
  <c r="L68" i="19"/>
  <c r="O68" i="19" s="1"/>
  <c r="P68" i="19"/>
  <c r="Q68" i="19"/>
  <c r="L69" i="19"/>
  <c r="O69" i="19" s="1"/>
  <c r="P69" i="19"/>
  <c r="Q69" i="19"/>
  <c r="L70" i="19"/>
  <c r="O70" i="19" s="1"/>
  <c r="P70" i="19"/>
  <c r="Q70" i="19"/>
  <c r="L71" i="19"/>
  <c r="O71" i="19" s="1"/>
  <c r="P71" i="19"/>
  <c r="Q71" i="19"/>
  <c r="L72" i="19"/>
  <c r="O72" i="19" s="1"/>
  <c r="P72" i="19"/>
  <c r="Q72" i="19"/>
  <c r="L73" i="19"/>
  <c r="O73" i="19" s="1"/>
  <c r="P73" i="19"/>
  <c r="Q73" i="19"/>
  <c r="L74" i="19"/>
  <c r="O74" i="19" s="1"/>
  <c r="P74" i="19"/>
  <c r="Q74" i="19"/>
  <c r="L75" i="19"/>
  <c r="O75" i="19" s="1"/>
  <c r="P75" i="19"/>
  <c r="Q75" i="19"/>
  <c r="L76" i="19"/>
  <c r="O76" i="19" s="1"/>
  <c r="P76" i="19"/>
  <c r="Q76" i="19"/>
  <c r="L77" i="19"/>
  <c r="O77" i="19" s="1"/>
  <c r="P77" i="19"/>
  <c r="Q77" i="19"/>
  <c r="L78" i="19"/>
  <c r="O78" i="19" s="1"/>
  <c r="P78" i="19"/>
  <c r="Q78" i="19"/>
  <c r="L79" i="19"/>
  <c r="O79" i="19" s="1"/>
  <c r="P79" i="19"/>
  <c r="Q79" i="19"/>
  <c r="L80" i="19"/>
  <c r="O80" i="19" s="1"/>
  <c r="P80" i="19"/>
  <c r="Q80" i="19"/>
  <c r="L81" i="19"/>
  <c r="O81" i="19" s="1"/>
  <c r="P81" i="19"/>
  <c r="Q81" i="19"/>
  <c r="L82" i="19"/>
  <c r="O82" i="19" s="1"/>
  <c r="P82" i="19"/>
  <c r="Q82" i="19"/>
  <c r="L83" i="19"/>
  <c r="O83" i="19" s="1"/>
  <c r="P83" i="19"/>
  <c r="Q83" i="19"/>
  <c r="R24" i="19" l="1"/>
  <c r="S24" i="19" s="1"/>
  <c r="U82" i="19"/>
  <c r="W82" i="19" s="1"/>
  <c r="U34" i="19"/>
  <c r="W34" i="19" s="1"/>
  <c r="R21" i="19"/>
  <c r="S21" i="19" s="1"/>
  <c r="R41" i="19"/>
  <c r="S41" i="19" s="1"/>
  <c r="U26" i="19"/>
  <c r="W26" i="19" s="1"/>
  <c r="R35" i="19"/>
  <c r="S35" i="19" s="1"/>
  <c r="R40" i="19"/>
  <c r="S40" i="19" s="1"/>
  <c r="U83" i="19"/>
  <c r="W83" i="19" s="1"/>
  <c r="U10" i="19"/>
  <c r="W10" i="19" s="1"/>
  <c r="U20" i="19"/>
  <c r="W20" i="19" s="1"/>
  <c r="U74" i="19"/>
  <c r="W74" i="19" s="1"/>
  <c r="U81" i="19"/>
  <c r="W81" i="19" s="1"/>
  <c r="U76" i="19"/>
  <c r="W76" i="19" s="1"/>
  <c r="U36" i="19"/>
  <c r="W36" i="19" s="1"/>
  <c r="U35" i="19"/>
  <c r="W35" i="19" s="1"/>
  <c r="R13" i="19"/>
  <c r="S13" i="19" s="1"/>
  <c r="R11" i="19"/>
  <c r="S11" i="19" s="1"/>
  <c r="U18" i="19"/>
  <c r="W18" i="19" s="1"/>
  <c r="U75" i="19"/>
  <c r="W75" i="19" s="1"/>
  <c r="R20" i="19"/>
  <c r="S20" i="19" s="1"/>
  <c r="R27" i="19"/>
  <c r="S27" i="19" s="1"/>
  <c r="U17" i="19"/>
  <c r="W17" i="19" s="1"/>
  <c r="R19" i="19"/>
  <c r="S19" i="19" s="1"/>
  <c r="U11" i="19"/>
  <c r="W11" i="19" s="1"/>
  <c r="U71" i="19"/>
  <c r="W71" i="19" s="1"/>
  <c r="R37" i="19"/>
  <c r="S37" i="19" s="1"/>
  <c r="R28" i="19"/>
  <c r="S28" i="19" s="1"/>
  <c r="R14" i="19"/>
  <c r="S14" i="19" s="1"/>
  <c r="U4" i="19"/>
  <c r="W4" i="19" s="1"/>
  <c r="U33" i="19"/>
  <c r="W33" i="19" s="1"/>
  <c r="R23" i="19"/>
  <c r="S23" i="19" s="1"/>
  <c r="R9" i="19"/>
  <c r="S9" i="19" s="1"/>
  <c r="U80" i="19"/>
  <c r="W80" i="19" s="1"/>
  <c r="U73" i="19"/>
  <c r="W73" i="19" s="1"/>
  <c r="R30" i="19"/>
  <c r="S30" i="19" s="1"/>
  <c r="R25" i="19"/>
  <c r="S25" i="19" s="1"/>
  <c r="U16" i="19"/>
  <c r="W16" i="19" s="1"/>
  <c r="R6" i="19"/>
  <c r="S6" i="19" s="1"/>
  <c r="U42" i="19"/>
  <c r="W42" i="19" s="1"/>
  <c r="R17" i="19"/>
  <c r="S17" i="19" s="1"/>
  <c r="U79" i="19"/>
  <c r="W79" i="19" s="1"/>
  <c r="U72" i="19"/>
  <c r="W72" i="19" s="1"/>
  <c r="R43" i="19"/>
  <c r="S43" i="19" s="1"/>
  <c r="R38" i="19"/>
  <c r="S38" i="19" s="1"/>
  <c r="R36" i="19"/>
  <c r="S36" i="19" s="1"/>
  <c r="R26" i="19"/>
  <c r="S26" i="19" s="1"/>
  <c r="U78" i="19"/>
  <c r="W78" i="19" s="1"/>
  <c r="U77" i="19"/>
  <c r="W77" i="19" s="1"/>
  <c r="R83" i="19"/>
  <c r="S83" i="19" s="1"/>
  <c r="R12" i="19"/>
  <c r="S12" i="19" s="1"/>
  <c r="R76" i="19"/>
  <c r="S76" i="19" s="1"/>
  <c r="R72" i="19"/>
  <c r="S72" i="19" s="1"/>
  <c r="U41" i="19"/>
  <c r="W41" i="19" s="1"/>
  <c r="R33" i="19"/>
  <c r="S33" i="19" s="1"/>
  <c r="R29" i="19"/>
  <c r="S29" i="19" s="1"/>
  <c r="R22" i="19"/>
  <c r="S22" i="19" s="1"/>
  <c r="R15" i="19"/>
  <c r="S15" i="19" s="1"/>
  <c r="U12" i="19"/>
  <c r="W12" i="19" s="1"/>
  <c r="R5" i="19"/>
  <c r="S5" i="19" s="1"/>
  <c r="R79" i="19"/>
  <c r="S79" i="19" s="1"/>
  <c r="R75" i="19"/>
  <c r="S75" i="19" s="1"/>
  <c r="R80" i="19"/>
  <c r="S80" i="19" s="1"/>
  <c r="U32" i="19"/>
  <c r="W32" i="19" s="1"/>
  <c r="U8" i="19"/>
  <c r="W8" i="19" s="1"/>
  <c r="R81" i="19"/>
  <c r="S81" i="19" s="1"/>
  <c r="R42" i="19"/>
  <c r="S42" i="19" s="1"/>
  <c r="U27" i="19"/>
  <c r="W27" i="19" s="1"/>
  <c r="R39" i="19"/>
  <c r="S39" i="19" s="1"/>
  <c r="R73" i="19"/>
  <c r="S73" i="19" s="1"/>
  <c r="R31" i="19"/>
  <c r="S31" i="19" s="1"/>
  <c r="U28" i="19"/>
  <c r="W28" i="19" s="1"/>
  <c r="U24" i="19"/>
  <c r="W24" i="19" s="1"/>
  <c r="R18" i="19"/>
  <c r="S18" i="19" s="1"/>
  <c r="R16" i="19"/>
  <c r="S16" i="19" s="1"/>
  <c r="R7" i="19"/>
  <c r="S7" i="19" s="1"/>
  <c r="R77" i="19"/>
  <c r="S77" i="19" s="1"/>
  <c r="R82" i="19"/>
  <c r="S82" i="19" s="1"/>
  <c r="R78" i="19"/>
  <c r="S78" i="19" s="1"/>
  <c r="U43" i="19"/>
  <c r="W43" i="19" s="1"/>
  <c r="U9" i="19"/>
  <c r="W9" i="19" s="1"/>
  <c r="R4" i="19"/>
  <c r="S4" i="19" s="1"/>
  <c r="R71" i="19"/>
  <c r="S71" i="19" s="1"/>
  <c r="U25" i="19"/>
  <c r="W25" i="19" s="1"/>
  <c r="R74" i="19"/>
  <c r="S74" i="19" s="1"/>
  <c r="U40" i="19"/>
  <c r="W40" i="19" s="1"/>
  <c r="R34" i="19"/>
  <c r="S34" i="19" s="1"/>
  <c r="R32" i="19"/>
  <c r="S32" i="19" s="1"/>
  <c r="U19" i="19"/>
  <c r="W19" i="19" s="1"/>
  <c r="R10" i="19"/>
  <c r="S10" i="19" s="1"/>
  <c r="R8" i="19"/>
  <c r="S8" i="19" s="1"/>
  <c r="U69" i="19"/>
  <c r="W69" i="19" s="1"/>
  <c r="R69" i="19"/>
  <c r="S69" i="19" s="1"/>
  <c r="U61" i="19"/>
  <c r="W61" i="19" s="1"/>
  <c r="R61" i="19"/>
  <c r="S61" i="19" s="1"/>
  <c r="U53" i="19"/>
  <c r="W53" i="19" s="1"/>
  <c r="R53" i="19"/>
  <c r="S53" i="19" s="1"/>
  <c r="U45" i="19"/>
  <c r="W45" i="19" s="1"/>
  <c r="R45" i="19"/>
  <c r="S45" i="19" s="1"/>
  <c r="U66" i="19"/>
  <c r="W66" i="19" s="1"/>
  <c r="R66" i="19"/>
  <c r="S66" i="19" s="1"/>
  <c r="U50" i="19"/>
  <c r="W50" i="19" s="1"/>
  <c r="R50" i="19"/>
  <c r="S50" i="19" s="1"/>
  <c r="R52" i="19"/>
  <c r="S52" i="19" s="1"/>
  <c r="U52" i="19"/>
  <c r="W52" i="19" s="1"/>
  <c r="U58" i="19"/>
  <c r="W58" i="19" s="1"/>
  <c r="R58" i="19"/>
  <c r="S58" i="19" s="1"/>
  <c r="R57" i="19"/>
  <c r="S57" i="19" s="1"/>
  <c r="U57" i="19"/>
  <c r="W57" i="19" s="1"/>
  <c r="U49" i="19"/>
  <c r="W49" i="19" s="1"/>
  <c r="R49" i="19"/>
  <c r="S49" i="19" s="1"/>
  <c r="U55" i="19"/>
  <c r="W55" i="19" s="1"/>
  <c r="R55" i="19"/>
  <c r="S55" i="19" s="1"/>
  <c r="U65" i="19"/>
  <c r="W65" i="19" s="1"/>
  <c r="R65" i="19"/>
  <c r="S65" i="19" s="1"/>
  <c r="R46" i="19"/>
  <c r="S46" i="19" s="1"/>
  <c r="U46" i="19"/>
  <c r="W46" i="19" s="1"/>
  <c r="U63" i="19"/>
  <c r="W63" i="19" s="1"/>
  <c r="R63" i="19"/>
  <c r="S63" i="19" s="1"/>
  <c r="U68" i="19"/>
  <c r="W68" i="19" s="1"/>
  <c r="R68" i="19"/>
  <c r="S68" i="19" s="1"/>
  <c r="U44" i="19"/>
  <c r="W44" i="19" s="1"/>
  <c r="R44" i="19"/>
  <c r="S44" i="19" s="1"/>
  <c r="U70" i="19"/>
  <c r="W70" i="19" s="1"/>
  <c r="R70" i="19"/>
  <c r="S70" i="19" s="1"/>
  <c r="R62" i="19"/>
  <c r="S62" i="19" s="1"/>
  <c r="U62" i="19"/>
  <c r="W62" i="19" s="1"/>
  <c r="R54" i="19"/>
  <c r="S54" i="19" s="1"/>
  <c r="U54" i="19"/>
  <c r="W54" i="19" s="1"/>
  <c r="R67" i="19"/>
  <c r="S67" i="19" s="1"/>
  <c r="U67" i="19"/>
  <c r="W67" i="19" s="1"/>
  <c r="U59" i="19"/>
  <c r="W59" i="19" s="1"/>
  <c r="R59" i="19"/>
  <c r="S59" i="19" s="1"/>
  <c r="R51" i="19"/>
  <c r="S51" i="19" s="1"/>
  <c r="U51" i="19"/>
  <c r="W51" i="19" s="1"/>
  <c r="U47" i="19"/>
  <c r="W47" i="19" s="1"/>
  <c r="R47" i="19"/>
  <c r="S47" i="19" s="1"/>
  <c r="U60" i="19"/>
  <c r="W60" i="19" s="1"/>
  <c r="R60" i="19"/>
  <c r="S60" i="19" s="1"/>
  <c r="R64" i="19"/>
  <c r="S64" i="19" s="1"/>
  <c r="U64" i="19"/>
  <c r="W64" i="19" s="1"/>
  <c r="R56" i="19"/>
  <c r="S56" i="19" s="1"/>
  <c r="U56" i="19"/>
  <c r="W56" i="19" s="1"/>
  <c r="R48" i="19"/>
  <c r="S48" i="19" s="1"/>
  <c r="U48" i="19"/>
  <c r="W48" i="19" s="1"/>
  <c r="U37" i="19"/>
  <c r="W37" i="19" s="1"/>
  <c r="U29" i="19"/>
  <c r="W29" i="19" s="1"/>
  <c r="U21" i="19"/>
  <c r="W21" i="19" s="1"/>
  <c r="U13" i="19"/>
  <c r="W13" i="19" s="1"/>
  <c r="U5" i="19"/>
  <c r="W5" i="19" s="1"/>
  <c r="U38" i="19"/>
  <c r="W38" i="19" s="1"/>
  <c r="U30" i="19"/>
  <c r="W30" i="19" s="1"/>
  <c r="U22" i="19"/>
  <c r="W22" i="19" s="1"/>
  <c r="U14" i="19"/>
  <c r="W14" i="19" s="1"/>
  <c r="U6" i="19"/>
  <c r="W6" i="19" s="1"/>
  <c r="U39" i="19"/>
  <c r="W39" i="19" s="1"/>
  <c r="U31" i="19"/>
  <c r="W31" i="19" s="1"/>
  <c r="U23" i="19"/>
  <c r="W23" i="19" s="1"/>
  <c r="U15" i="19"/>
  <c r="W15" i="19" s="1"/>
  <c r="U7" i="19"/>
  <c r="W7" i="19" s="1"/>
  <c r="I16" i="7"/>
  <c r="D15" i="7" l="1" a="1"/>
  <c r="D15" i="7" s="1"/>
  <c r="I15" i="7"/>
  <c r="I14" i="7"/>
  <c r="G15" i="7" a="1"/>
  <c r="G15" i="7" s="1"/>
  <c r="E15" i="7" a="1"/>
  <c r="E15" i="7" s="1"/>
  <c r="F15" i="7" a="1"/>
  <c r="F15" i="7" s="1"/>
  <c r="K15" i="7" l="1"/>
  <c r="C35" i="11" l="1"/>
  <c r="C34" i="11" s="1"/>
  <c r="C30" i="11"/>
  <c r="C16" i="11"/>
  <c r="T23" i="18" l="1"/>
  <c r="J23" i="18"/>
  <c r="L23" i="18"/>
  <c r="J24" i="18"/>
  <c r="L24" i="18"/>
  <c r="J25" i="18"/>
  <c r="L25" i="18"/>
  <c r="J26" i="18"/>
  <c r="L26" i="18"/>
  <c r="J27" i="18"/>
  <c r="L27" i="18"/>
  <c r="J28" i="18"/>
  <c r="L28" i="18"/>
  <c r="J29" i="18"/>
  <c r="L29" i="18"/>
  <c r="J30" i="18"/>
  <c r="L30" i="18"/>
  <c r="J31" i="18"/>
  <c r="L31" i="18"/>
  <c r="J32" i="18"/>
  <c r="L32" i="18"/>
  <c r="J33" i="18"/>
  <c r="L33" i="18"/>
  <c r="J34" i="18"/>
  <c r="L34" i="18"/>
  <c r="J35" i="18"/>
  <c r="L35" i="18"/>
  <c r="J36" i="18"/>
  <c r="L36" i="18"/>
  <c r="J37" i="18"/>
  <c r="L37" i="18"/>
  <c r="J38" i="18"/>
  <c r="L38" i="18"/>
  <c r="J39" i="18"/>
  <c r="L39" i="18"/>
  <c r="J40" i="18"/>
  <c r="L40" i="18"/>
  <c r="J41" i="18"/>
  <c r="L41" i="18"/>
  <c r="J42" i="18"/>
  <c r="L42" i="18"/>
  <c r="J43" i="18"/>
  <c r="L43" i="18"/>
  <c r="J44" i="18"/>
  <c r="L44" i="18"/>
  <c r="J45" i="18"/>
  <c r="L45" i="18"/>
  <c r="J46" i="18"/>
  <c r="L46" i="18"/>
  <c r="J47" i="18"/>
  <c r="L47" i="18"/>
  <c r="J48" i="18"/>
  <c r="L48" i="18"/>
  <c r="J49" i="18"/>
  <c r="L49" i="18"/>
  <c r="J50" i="18"/>
  <c r="L50" i="18"/>
  <c r="J51" i="18"/>
  <c r="L51" i="18"/>
  <c r="J52" i="18"/>
  <c r="L52" i="18"/>
  <c r="J53" i="18"/>
  <c r="L53" i="18"/>
  <c r="J54" i="18"/>
  <c r="L54" i="18"/>
  <c r="D5" i="18"/>
  <c r="D4" i="18"/>
  <c r="D3" i="18"/>
  <c r="P23" i="18" s="1"/>
  <c r="I16" i="18"/>
  <c r="I15" i="18"/>
  <c r="G15" i="18" a="1"/>
  <c r="G15" i="18" s="1"/>
  <c r="F15" i="18" a="1"/>
  <c r="F15" i="18" s="1"/>
  <c r="E15" i="18" a="1"/>
  <c r="E15" i="18" s="1"/>
  <c r="I14" i="18"/>
  <c r="L15" i="18" s="1" a="1"/>
  <c r="L15" i="18" s="1"/>
  <c r="F5" i="18"/>
  <c r="F4" i="18"/>
  <c r="F3" i="18"/>
  <c r="D15" i="18" l="1" a="1"/>
  <c r="D15" i="18" s="1"/>
  <c r="J15" i="18" a="1"/>
  <c r="J15" i="18" s="1"/>
  <c r="K15" i="18" a="1"/>
  <c r="K15" i="18" s="1"/>
  <c r="C5" i="12" l="1"/>
  <c r="D5" i="12" s="1"/>
  <c r="C17" i="11" l="1"/>
  <c r="C25" i="11"/>
  <c r="C29" i="11"/>
  <c r="C37" i="11"/>
  <c r="C38" i="11"/>
  <c r="C39" i="11"/>
  <c r="C3" i="8" l="1"/>
  <c r="D3" i="8"/>
  <c r="E3" i="8"/>
  <c r="F3" i="8"/>
  <c r="G3" i="8"/>
  <c r="H3" i="8"/>
  <c r="I3" i="8"/>
  <c r="C4" i="8"/>
  <c r="D4" i="8"/>
  <c r="E4" i="8"/>
  <c r="F4" i="8"/>
  <c r="G4" i="8"/>
  <c r="H4" i="8"/>
  <c r="I4" i="8"/>
  <c r="C5" i="8"/>
  <c r="D5" i="8"/>
  <c r="E5" i="8"/>
  <c r="F5" i="8"/>
  <c r="G5" i="8"/>
  <c r="H5" i="8"/>
  <c r="I5" i="8"/>
  <c r="C6" i="8"/>
  <c r="D6" i="8"/>
  <c r="E6" i="8"/>
  <c r="F6" i="8"/>
  <c r="G6" i="8"/>
  <c r="H6" i="8"/>
  <c r="I6" i="8"/>
  <c r="F3" i="7" l="1"/>
  <c r="F4" i="7"/>
  <c r="F5" i="7"/>
  <c r="G12" i="5"/>
  <c r="G14" i="5"/>
  <c r="G21" i="5"/>
  <c r="G31" i="5"/>
  <c r="G41" i="5"/>
  <c r="J15" i="7" l="1"/>
  <c r="L15" i="7"/>
</calcChain>
</file>

<file path=xl/sharedStrings.xml><?xml version="1.0" encoding="utf-8"?>
<sst xmlns="http://schemas.openxmlformats.org/spreadsheetml/2006/main" count="1966" uniqueCount="712">
  <si>
    <t>T70-1/A</t>
  </si>
  <si>
    <t>guide rails type</t>
  </si>
  <si>
    <t>[m]</t>
  </si>
  <si>
    <t>Travel height</t>
  </si>
  <si>
    <t>[m/s]</t>
  </si>
  <si>
    <t>speed</t>
  </si>
  <si>
    <t>1000W</t>
  </si>
  <si>
    <t>1000D</t>
  </si>
  <si>
    <t>[kg]</t>
  </si>
  <si>
    <t>Capacity</t>
  </si>
  <si>
    <t>MRL</t>
  </si>
  <si>
    <t>MR</t>
  </si>
  <si>
    <t>[A]</t>
  </si>
  <si>
    <t>permitted starting current</t>
  </si>
  <si>
    <t>starting current</t>
  </si>
  <si>
    <t>rated curret</t>
  </si>
  <si>
    <t>[kW]</t>
  </si>
  <si>
    <t>nominal power</t>
  </si>
  <si>
    <t>TW130</t>
  </si>
  <si>
    <t>TW63</t>
  </si>
  <si>
    <t>TW45</t>
  </si>
  <si>
    <t>5xd11</t>
  </si>
  <si>
    <t>4xd11</t>
  </si>
  <si>
    <t>5xd8</t>
  </si>
  <si>
    <t>6xd8</t>
  </si>
  <si>
    <t>(simplycity 200)</t>
  </si>
  <si>
    <t>4xd8</t>
  </si>
  <si>
    <t>10xd6</t>
  </si>
  <si>
    <t>6xd6</t>
  </si>
  <si>
    <t>5xd6</t>
  </si>
  <si>
    <t>6xd11</t>
  </si>
  <si>
    <t>(simplycity 100)</t>
  </si>
  <si>
    <t>ropes</t>
  </si>
  <si>
    <t>[mm]</t>
  </si>
  <si>
    <t>Traction sheave (TSD)</t>
  </si>
  <si>
    <t>TN-C-S</t>
  </si>
  <si>
    <t>grounding system</t>
  </si>
  <si>
    <t>[Hz]</t>
  </si>
  <si>
    <t>frequency</t>
  </si>
  <si>
    <t>[V]</t>
  </si>
  <si>
    <t>voltage</t>
  </si>
  <si>
    <t>rated current</t>
  </si>
  <si>
    <t>traction machine power output</t>
  </si>
  <si>
    <t>nominal power (elevator)</t>
  </si>
  <si>
    <t>Filler steel, 805х195х10, 12 kg</t>
  </si>
  <si>
    <t>Filler 3</t>
  </si>
  <si>
    <t>Filler concrete, 805х195х50, 25 kg</t>
  </si>
  <si>
    <t>Filler 2</t>
  </si>
  <si>
    <t>Filler concrete, 805х195х50, 18,1 kg</t>
  </si>
  <si>
    <t>Filler 1</t>
  </si>
  <si>
    <r>
      <rPr>
        <sz val="11"/>
        <color rgb="FFFF0000"/>
        <rFont val="Calibri"/>
        <family val="2"/>
        <charset val="204"/>
        <scheme val="minor"/>
      </rPr>
      <t>Travelling cable (TC) mass</t>
    </r>
    <r>
      <rPr>
        <sz val="11"/>
        <color theme="1"/>
        <rFont val="Calibri"/>
        <family val="2"/>
        <scheme val="minor"/>
      </rPr>
      <t xml:space="preserve"> is 3 x 0,236 = </t>
    </r>
    <r>
      <rPr>
        <sz val="11"/>
        <color rgb="FFFF0000"/>
        <rFont val="Calibri"/>
        <family val="2"/>
        <charset val="204"/>
        <scheme val="minor"/>
      </rPr>
      <t>0,708 kg per 1 m for 1 m/s</t>
    </r>
    <r>
      <rPr>
        <sz val="11"/>
        <color theme="1"/>
        <rFont val="Calibri"/>
        <family val="2"/>
        <scheme val="minor"/>
      </rPr>
      <t xml:space="preserve"> and 0,5 + 0,51 = </t>
    </r>
    <r>
      <rPr>
        <sz val="11"/>
        <color rgb="FFFF0000"/>
        <rFont val="Calibri"/>
        <family val="2"/>
        <charset val="204"/>
        <scheme val="minor"/>
      </rPr>
      <t>1,01 kg per 1 m for 1,6 m/s</t>
    </r>
    <r>
      <rPr>
        <sz val="11"/>
        <color theme="1"/>
        <rFont val="Calibri"/>
        <family val="2"/>
        <scheme val="minor"/>
      </rPr>
      <t>. Estimation of TC length is TH+5m.</t>
    </r>
  </si>
  <si>
    <r>
      <t xml:space="preserve">P` = P + </t>
    </r>
    <r>
      <rPr>
        <sz val="11"/>
        <color rgb="FFFF0000"/>
        <rFont val="Calibri"/>
        <family val="2"/>
        <charset val="204"/>
        <scheme val="minor"/>
      </rPr>
      <t>part of</t>
    </r>
    <r>
      <rPr>
        <sz val="11"/>
        <color theme="1"/>
        <rFont val="Calibri"/>
        <family val="2"/>
        <scheme val="minor"/>
      </rPr>
      <t xml:space="preserve"> (traveling cable and compensation chain masses)</t>
    </r>
  </si>
  <si>
    <t>P = masses of empty car and components supported by car is taken from TLD for MRL</t>
  </si>
  <si>
    <t>G07</t>
  </si>
  <si>
    <t>60 &lt; TH &lt;= 80</t>
  </si>
  <si>
    <t>No</t>
  </si>
  <si>
    <t>37 &lt; TH &lt;= 60</t>
  </si>
  <si>
    <t>0 &lt; TH &lt;= 37</t>
  </si>
  <si>
    <t>G09</t>
  </si>
  <si>
    <t>Wide</t>
  </si>
  <si>
    <t>Yes</t>
  </si>
  <si>
    <t>30 &lt; TH &lt;= 60</t>
  </si>
  <si>
    <t>0 &lt; TH &lt;= 30</t>
  </si>
  <si>
    <t>Deep</t>
  </si>
  <si>
    <t>Filler 3, 
qty</t>
  </si>
  <si>
    <t>Filler 2, 
qty</t>
  </si>
  <si>
    <t>Filler 1, 
qty</t>
  </si>
  <si>
    <r>
      <t>Delta P</t>
    </r>
    <r>
      <rPr>
        <b/>
        <vertAlign val="subscript"/>
        <sz val="11"/>
        <color theme="1"/>
        <rFont val="Calibri"/>
        <family val="2"/>
        <charset val="204"/>
        <scheme val="minor"/>
      </rPr>
      <t>cwt</t>
    </r>
    <r>
      <rPr>
        <b/>
        <sz val="11"/>
        <color theme="1"/>
        <rFont val="Calibri"/>
        <family val="2"/>
        <charset val="204"/>
        <scheme val="minor"/>
      </rPr>
      <t xml:space="preserve"> 
(normed - 
actual)</t>
    </r>
  </si>
  <si>
    <r>
      <t>P</t>
    </r>
    <r>
      <rPr>
        <b/>
        <vertAlign val="subscript"/>
        <sz val="11"/>
        <color theme="1"/>
        <rFont val="Calibri"/>
        <family val="2"/>
        <charset val="204"/>
        <scheme val="minor"/>
      </rPr>
      <t>cwt</t>
    </r>
    <r>
      <rPr>
        <b/>
        <sz val="11"/>
        <color theme="1"/>
        <rFont val="Calibri"/>
        <family val="2"/>
        <charset val="204"/>
        <scheme val="minor"/>
      </rPr>
      <t>,
(normed), 
kg</t>
    </r>
  </si>
  <si>
    <r>
      <t>P</t>
    </r>
    <r>
      <rPr>
        <b/>
        <vertAlign val="subscript"/>
        <sz val="11"/>
        <color theme="1"/>
        <rFont val="Calibri"/>
        <family val="2"/>
        <charset val="204"/>
        <scheme val="minor"/>
      </rPr>
      <t>cwt</t>
    </r>
    <r>
      <rPr>
        <b/>
        <sz val="11"/>
        <color theme="1"/>
        <rFont val="Calibri"/>
        <family val="2"/>
        <charset val="204"/>
        <scheme val="minor"/>
      </rPr>
      <t>,
(actual), 
kg</t>
    </r>
  </si>
  <si>
    <t>PSG
Wittur BSG25
902553</t>
  </si>
  <si>
    <t>(P`+Q),
kg</t>
  </si>
  <si>
    <t>P',
kg</t>
  </si>
  <si>
    <t>1/2 of Comp.
chain mass,
kg</t>
  </si>
  <si>
    <t>1/2 of Travel.
cable mass,
kg</t>
  </si>
  <si>
    <t>P,
kg</t>
  </si>
  <si>
    <t>IKK + car distributor,
kg</t>
  </si>
  <si>
    <t>Warehouse,
kg</t>
  </si>
  <si>
    <t>CWT
balance
ratio</t>
  </si>
  <si>
    <t>Comp.
chain,
kg/m</t>
  </si>
  <si>
    <t>TH max,
m</t>
  </si>
  <si>
    <t>TH</t>
  </si>
  <si>
    <t>Recess, mm</t>
  </si>
  <si>
    <t>Speed</t>
  </si>
  <si>
    <t>Model</t>
  </si>
  <si>
    <t>#</t>
  </si>
  <si>
    <t>Дверь кабины +  Фартук + Световая завеса</t>
  </si>
  <si>
    <t>Дверь кабины Fermator Premium PM 2SO-1200-2000L-SS</t>
  </si>
  <si>
    <t>ОСП0004098</t>
  </si>
  <si>
    <t>Дверь кабины Fermator Premium PM 2SO-900-2000R- SS</t>
  </si>
  <si>
    <t>ОСП0007999</t>
  </si>
  <si>
    <t>Дверь кабины Fermator Premium PM 2SO-700-2000L-SS</t>
  </si>
  <si>
    <t>ОСП0008670</t>
  </si>
  <si>
    <t>Итого:</t>
  </si>
  <si>
    <t>Ловители плавного торможения BSG-25P, k = 16 мм, G-09 (без корпуса) (AK=200мм)</t>
  </si>
  <si>
    <t>ОСП0014092</t>
  </si>
  <si>
    <t>Масленка КМЗ (2 шт.)</t>
  </si>
  <si>
    <t>ОСП0007596</t>
  </si>
  <si>
    <t>Вкладыш паз 14 мм (4шт.)</t>
  </si>
  <si>
    <t>ОСП0002816</t>
  </si>
  <si>
    <t>Башмак скользящий прямой без вкладыша КМЗ (4шт.)</t>
  </si>
  <si>
    <t>ОСП0014731</t>
  </si>
  <si>
    <t>Ось блока отводного ø50х210 мм (для кабины 2 шт.)</t>
  </si>
  <si>
    <t>ОСП0013006</t>
  </si>
  <si>
    <t>Блок отводной D320х10xø6 CFC6310-2RS/C3 (для кабины 2 шт.)</t>
  </si>
  <si>
    <t>ОСП0013004</t>
  </si>
  <si>
    <t>Панели, поручень, метизы</t>
  </si>
  <si>
    <t>Кабина лифта RRL1000W-FF-SS-M-2SO1200L (LED Spot)</t>
  </si>
  <si>
    <t>ОСП0015055</t>
  </si>
  <si>
    <t>Верняя и нижняя балки, потолок, пол, поручни.</t>
  </si>
  <si>
    <t>Кабина лифта RRL1000W-FF-SS</t>
  </si>
  <si>
    <t>Привод дверей, порог, двери, фартук</t>
  </si>
  <si>
    <t>Дверь кабины Fermator</t>
  </si>
  <si>
    <t>ОСП0010930</t>
  </si>
  <si>
    <t>18470-19-1</t>
  </si>
  <si>
    <t>Кабина лифта RRL630-SS-M-2SO900L (смещ 75 вправо) (MRL)</t>
  </si>
  <si>
    <t>ОСП0014046</t>
  </si>
  <si>
    <t>Кабина лифта RRL630-SS</t>
  </si>
  <si>
    <t>Вкладыш паз 6 мм (4 мм.)</t>
  </si>
  <si>
    <t>М00002019</t>
  </si>
  <si>
    <t>Ось блока отводного ø50х210 мм (для противовеса 1 шт.)</t>
  </si>
  <si>
    <t>Блок отводной D320х10xø6 CFC6310-2RS/C3 (для противовеса 1 шт.)</t>
  </si>
  <si>
    <t>17330-19-1</t>
  </si>
  <si>
    <t>Рама противовеса 900x200x2900 (MRL)</t>
  </si>
  <si>
    <t>ОСП0013683</t>
  </si>
  <si>
    <t xml:space="preserve">Рама противовеса 900x200x2900 </t>
  </si>
  <si>
    <t>Рама лебедки, комплект крепежа</t>
  </si>
  <si>
    <t>Рама лебедки PMC125 (левая, версия L)</t>
  </si>
  <si>
    <t>ОСП0014073</t>
  </si>
  <si>
    <t>Рама лебедки PMC125</t>
  </si>
  <si>
    <t>Кабина лифта RRL1000D-FF-SS-M-2SO900L (смещ 75 вправо) (MRL)</t>
  </si>
  <si>
    <t>Кабина лифта RRL1000D-FF-SS</t>
  </si>
  <si>
    <t>Объем (м3.)</t>
  </si>
  <si>
    <t>Высота</t>
  </si>
  <si>
    <t xml:space="preserve">Ширина </t>
  </si>
  <si>
    <t>Габариты упак.</t>
  </si>
  <si>
    <t>Вес с упаковкой (кг.)</t>
  </si>
  <si>
    <t>Чистый вес (кг.)</t>
  </si>
  <si>
    <t>Характтеристика</t>
  </si>
  <si>
    <t>Комплектация</t>
  </si>
  <si>
    <t>Наименование</t>
  </si>
  <si>
    <t>ОСП</t>
  </si>
  <si>
    <t>Комментарий</t>
  </si>
  <si>
    <t>CWT weight min, kg</t>
  </si>
  <si>
    <t>CWT weight nom, kg</t>
  </si>
  <si>
    <t>set height, mm</t>
  </si>
  <si>
    <t>set</t>
  </si>
  <si>
    <t>height, mm</t>
  </si>
  <si>
    <t>weight min, kg</t>
  </si>
  <si>
    <t>weight, kg</t>
  </si>
  <si>
    <t>price, RUB</t>
  </si>
  <si>
    <t>id</t>
  </si>
  <si>
    <t>check</t>
  </si>
  <si>
    <t>CWT filler height, mm</t>
  </si>
  <si>
    <t>CWT frame weight, kg</t>
  </si>
  <si>
    <t>Drive fragmented</t>
  </si>
  <si>
    <t>Attachment parts motor</t>
  </si>
  <si>
    <t>micro switch SA3.1</t>
  </si>
  <si>
    <t>Type of brake monitoring</t>
  </si>
  <si>
    <t>Cat . 0 - conformal to EN81-1/2</t>
  </si>
  <si>
    <t>Seismic lift category</t>
  </si>
  <si>
    <t>Earthquake protection</t>
  </si>
  <si>
    <t>RAL7021</t>
  </si>
  <si>
    <t>Corrosion protection color</t>
  </si>
  <si>
    <t>With steel core (IWRC)</t>
  </si>
  <si>
    <t>Type of rope</t>
  </si>
  <si>
    <t>2X125</t>
  </si>
  <si>
    <t>2 x 90</t>
  </si>
  <si>
    <t>2 x 50</t>
  </si>
  <si>
    <t>Type of brake</t>
  </si>
  <si>
    <t>Fixing at bottom</t>
  </si>
  <si>
    <t>Fixing of drive</t>
  </si>
  <si>
    <t>Machine room</t>
  </si>
  <si>
    <t>Drive location</t>
  </si>
  <si>
    <t>Incremental encoder</t>
  </si>
  <si>
    <t>Emergency braking system</t>
  </si>
  <si>
    <t>Vertical</t>
  </si>
  <si>
    <t>Horizontal</t>
  </si>
  <si>
    <t>Motor position</t>
  </si>
  <si>
    <t>Operating manual</t>
  </si>
  <si>
    <t>TRACTION MACHINE TW130</t>
  </si>
  <si>
    <t>TRACTION MACHINE TW63</t>
  </si>
  <si>
    <t>TRACTION MACHINE TW45C</t>
  </si>
  <si>
    <t>Job name</t>
  </si>
  <si>
    <t>Nominally motor power, kW</t>
  </si>
  <si>
    <t>Nominal current. A</t>
  </si>
  <si>
    <t>No. of blocking clamps</t>
  </si>
  <si>
    <t>Groove depth, mm</t>
  </si>
  <si>
    <t>Standard oil</t>
  </si>
  <si>
    <t>Gear oil</t>
  </si>
  <si>
    <t>EN 81, version 1998</t>
  </si>
  <si>
    <t>Lift norm</t>
  </si>
  <si>
    <t>TTL (5 Volt )</t>
  </si>
  <si>
    <t>TTL (5 Volt)</t>
  </si>
  <si>
    <t>Voltage of pulse generator</t>
  </si>
  <si>
    <t>2*4096</t>
  </si>
  <si>
    <t>Pulse generator</t>
  </si>
  <si>
    <t>No. of traction sheave grooves</t>
  </si>
  <si>
    <t>Machine with motor</t>
  </si>
  <si>
    <t>Machine with traction sheave</t>
  </si>
  <si>
    <t>Frequency of the supply, Hz</t>
  </si>
  <si>
    <t>Distance between grooves, mm</t>
  </si>
  <si>
    <t>Brake release lever</t>
  </si>
  <si>
    <t>Additional terminal box</t>
  </si>
  <si>
    <t>Yes beside</t>
  </si>
  <si>
    <t>Yes behind</t>
  </si>
  <si>
    <t>Oil drain plug beside machine</t>
  </si>
  <si>
    <t>Components</t>
  </si>
  <si>
    <t>Component sales</t>
  </si>
  <si>
    <t>Hardened sheave</t>
  </si>
  <si>
    <t>CMRF 160L1 / 15KW</t>
  </si>
  <si>
    <t>MT132M4-STD/11 KW</t>
  </si>
  <si>
    <t>MT132S4-STD/7,5 KW</t>
  </si>
  <si>
    <t>MT132S4-STD/5,5 KW</t>
  </si>
  <si>
    <t>ML 13,0 400 TW130 00</t>
  </si>
  <si>
    <t>ML 13,0 400 TW63 00</t>
  </si>
  <si>
    <t>C 10,0 330 TW63 00</t>
  </si>
  <si>
    <t>C 7,0 400 TW45B/TW63 00</t>
  </si>
  <si>
    <t>C 5,2 400 TW45B/TW63 00</t>
  </si>
  <si>
    <t>Motor type</t>
  </si>
  <si>
    <t>Hand wheel</t>
  </si>
  <si>
    <t>Tailored design</t>
  </si>
  <si>
    <t>Frequency inverter with acc.</t>
  </si>
  <si>
    <t>VVVF</t>
  </si>
  <si>
    <t>Drive regulation type</t>
  </si>
  <si>
    <t>Power supply, V</t>
  </si>
  <si>
    <t>Blocking clamp at traction sheave</t>
  </si>
  <si>
    <t>Operating motor current (ILH), A</t>
  </si>
  <si>
    <t>Machine type</t>
  </si>
  <si>
    <t>Groove angle, ° (degrees)</t>
  </si>
  <si>
    <t>Seat groove</t>
  </si>
  <si>
    <t>V-groove</t>
  </si>
  <si>
    <t>Groove type</t>
  </si>
  <si>
    <t>Traction sheave width</t>
  </si>
  <si>
    <t>Left</t>
  </si>
  <si>
    <t>Right</t>
  </si>
  <si>
    <t>Gear drive version</t>
  </si>
  <si>
    <t>Traction sheave diameter, mm</t>
  </si>
  <si>
    <t>35:1</t>
  </si>
  <si>
    <t>33:1</t>
  </si>
  <si>
    <t>48:2</t>
  </si>
  <si>
    <t>32:1</t>
  </si>
  <si>
    <t>41:2</t>
  </si>
  <si>
    <t>Gear ratio</t>
  </si>
  <si>
    <t>B5</t>
  </si>
  <si>
    <t>Motor version</t>
  </si>
  <si>
    <t>Supervision of brake system</t>
  </si>
  <si>
    <t>In machine room (standard)</t>
  </si>
  <si>
    <t>Position of traction sheave</t>
  </si>
  <si>
    <t>IP54</t>
  </si>
  <si>
    <t>IP55</t>
  </si>
  <si>
    <t>System of protection in MR</t>
  </si>
  <si>
    <t>Russian</t>
  </si>
  <si>
    <t>Language of documentation</t>
  </si>
  <si>
    <t>4 (deep car), 5 (wide car)</t>
  </si>
  <si>
    <t>Number of traction ropes as per TLD</t>
  </si>
  <si>
    <t>No. of suspension ropes</t>
  </si>
  <si>
    <t>Rope diameter, mm</t>
  </si>
  <si>
    <t>1 pcs.</t>
  </si>
  <si>
    <t>Calculation</t>
  </si>
  <si>
    <t>1000 kg (wide and deep), 1,60 m/s</t>
  </si>
  <si>
    <t>1000 kg (wide), 1,60 m/s</t>
  </si>
  <si>
    <t>1000 kg (wide and deep), 1,00 m/s</t>
  </si>
  <si>
    <t>630 kg, 1,60 m/s</t>
  </si>
  <si>
    <t>630 kg, 1,00 m/s</t>
  </si>
  <si>
    <t>400 kg, 1,60 m/s</t>
  </si>
  <si>
    <t>400 kg, 1,00 m/s</t>
  </si>
  <si>
    <t>Application</t>
  </si>
  <si>
    <t>Back Center/Left/Right (wide)
Side Left/Right (deep)</t>
  </si>
  <si>
    <t>Back Center</t>
  </si>
  <si>
    <t>Side Left/Right
Back Center</t>
  </si>
  <si>
    <t>CWT position</t>
  </si>
  <si>
    <t>Vertical Left</t>
  </si>
  <si>
    <t>Horizontal Right</t>
  </si>
  <si>
    <t>Gear on GAD</t>
  </si>
  <si>
    <t>Name ENG</t>
  </si>
  <si>
    <t>Article (tkAW No.)</t>
  </si>
  <si>
    <t>TKE code</t>
  </si>
  <si>
    <t>1S code</t>
  </si>
  <si>
    <t>ID</t>
  </si>
  <si>
    <t>—</t>
  </si>
  <si>
    <t>Double</t>
  </si>
  <si>
    <t>Single</t>
  </si>
  <si>
    <t>CWT 150</t>
  </si>
  <si>
    <t>Filler steel, 805х140х10, 8,5 kg</t>
  </si>
  <si>
    <t>ОСП0010895</t>
  </si>
  <si>
    <t>Filler 6</t>
  </si>
  <si>
    <t>Filler concrete, 805х140х60, 25,5 kg</t>
  </si>
  <si>
    <t>ОСП0010894</t>
  </si>
  <si>
    <t>Filler 5</t>
  </si>
  <si>
    <t>Filler concrete, 805х140х60, 15 kg</t>
  </si>
  <si>
    <t>ОСП0010893</t>
  </si>
  <si>
    <t>Filler 4</t>
  </si>
  <si>
    <t>CWT 200</t>
  </si>
  <si>
    <t>ОСП0010892</t>
  </si>
  <si>
    <t>ОСП0010891</t>
  </si>
  <si>
    <t>ОСП0010890</t>
  </si>
  <si>
    <t>630 / 1000</t>
  </si>
  <si>
    <t>AY Counterweight frame 900x150x3800</t>
  </si>
  <si>
    <t>6175S008300_03</t>
  </si>
  <si>
    <t>ОСП0009321</t>
  </si>
  <si>
    <t>CWT frame 150 x 3800</t>
  </si>
  <si>
    <t>AY Counterweight frame 900x150x3000</t>
  </si>
  <si>
    <t>6175S001300_02</t>
  </si>
  <si>
    <t>ОСП0009320</t>
  </si>
  <si>
    <t>CWT frame 150 x 3000</t>
  </si>
  <si>
    <t>Mass, kg</t>
  </si>
  <si>
    <t>Article</t>
  </si>
  <si>
    <t>Material</t>
  </si>
  <si>
    <t>Fillers
weight</t>
  </si>
  <si>
    <t>Frame 150
weight</t>
  </si>
  <si>
    <t>Difference</t>
  </si>
  <si>
    <t>Normed</t>
  </si>
  <si>
    <t>Max</t>
  </si>
  <si>
    <t>Min</t>
  </si>
  <si>
    <t>Flooring</t>
  </si>
  <si>
    <t>Accesses</t>
  </si>
  <si>
    <t>Additional contact standard GOST R 53780-2010</t>
  </si>
  <si>
    <t>With sill extension</t>
  </si>
  <si>
    <t>265 mm. fixed toe guard</t>
  </si>
  <si>
    <t>подпорожник</t>
  </si>
  <si>
    <t>отделка</t>
  </si>
  <si>
    <t>размеры</t>
  </si>
  <si>
    <t>огнестойкость</t>
  </si>
  <si>
    <t>направление открывания</t>
  </si>
  <si>
    <t>количество</t>
  </si>
  <si>
    <t>номер лифта</t>
  </si>
  <si>
    <t>дверь шахты</t>
  </si>
  <si>
    <t>Удлиненная дверная пластина</t>
  </si>
  <si>
    <t>модель Premium PM</t>
  </si>
  <si>
    <t>3 brackets / 5 brackets</t>
  </si>
  <si>
    <t>4 brackets / 5 brackets</t>
  </si>
  <si>
    <t>ЦО</t>
  </si>
  <si>
    <t>ТО</t>
  </si>
  <si>
    <t>2 brackets / 4 brackets</t>
  </si>
  <si>
    <t>1W</t>
  </si>
  <si>
    <t>DHP=138</t>
  </si>
  <si>
    <t>дверь кабины</t>
  </si>
  <si>
    <t>2W</t>
  </si>
  <si>
    <t>DHP=173</t>
  </si>
  <si>
    <t>2 brackets / 3 brackets</t>
  </si>
  <si>
    <t>DHP=102</t>
  </si>
  <si>
    <t>DHP=137</t>
  </si>
  <si>
    <t>simplycity</t>
  </si>
  <si>
    <t>evolution</t>
  </si>
  <si>
    <t>Видное</t>
  </si>
  <si>
    <t>объект</t>
  </si>
  <si>
    <t>дата платежа</t>
  </si>
  <si>
    <t>срок поставки</t>
  </si>
  <si>
    <t>недель</t>
  </si>
  <si>
    <t>Ситуация нагрузки</t>
  </si>
  <si>
    <t>Нормальная работа</t>
  </si>
  <si>
    <t>Экстримальный случай (yf = 2,3-2,8)</t>
  </si>
  <si>
    <t>Скорость, м/с</t>
  </si>
  <si>
    <t>Грузоподъёмность, кг</t>
  </si>
  <si>
    <t>Высота подъёма, м</t>
  </si>
  <si>
    <t>P7</t>
  </si>
  <si>
    <t>Нагрузка на каждую направляющую при срабатывании ловителя</t>
  </si>
  <si>
    <t>P8</t>
  </si>
  <si>
    <t>Нагрузка на каждый буфер кабины</t>
  </si>
  <si>
    <t>P9</t>
  </si>
  <si>
    <t>Нагрузка на каждый буфер противовеса</t>
  </si>
  <si>
    <t>P10</t>
  </si>
  <si>
    <t>P11d</t>
  </si>
  <si>
    <t>P11z</t>
  </si>
  <si>
    <t>P12z</t>
  </si>
  <si>
    <t>Направляющие кабины</t>
  </si>
  <si>
    <t>T70/A</t>
  </si>
  <si>
    <t>T89/B</t>
  </si>
  <si>
    <t>Т90/В</t>
  </si>
  <si>
    <t>Fx</t>
  </si>
  <si>
    <t>Fy</t>
  </si>
  <si>
    <t>Направляющие противовеса</t>
  </si>
  <si>
    <t>T50/A</t>
  </si>
  <si>
    <t>Максимальный прогиб</t>
  </si>
  <si>
    <t>± 5 мм</t>
  </si>
  <si>
    <t>без ограничений</t>
  </si>
  <si>
    <t>PFB R6R</t>
  </si>
  <si>
    <t>Speed governor</t>
  </si>
  <si>
    <t>BSG-25P</t>
  </si>
  <si>
    <t>Safety gear</t>
  </si>
  <si>
    <t xml:space="preserve"> T 50/A (k=5mm) </t>
  </si>
  <si>
    <t xml:space="preserve">Counterweight guide rails </t>
  </si>
  <si>
    <t xml:space="preserve"> 3221,5 mm </t>
  </si>
  <si>
    <t xml:space="preserve"> 3239 mm </t>
  </si>
  <si>
    <t xml:space="preserve"> 3450,9 mm </t>
  </si>
  <si>
    <t xml:space="preserve"> 3593,8 mm </t>
  </si>
  <si>
    <t xml:space="preserve"> 3773 mm </t>
  </si>
  <si>
    <t>4157,1 mm</t>
  </si>
  <si>
    <t xml:space="preserve"> 4202,8 mm </t>
  </si>
  <si>
    <r>
      <t xml:space="preserve">Max. buckling length cw rails </t>
    </r>
    <r>
      <rPr>
        <b/>
        <sz val="12"/>
        <color theme="1"/>
        <rFont val="Calibri"/>
        <family val="2"/>
        <charset val="204"/>
        <scheme val="minor"/>
      </rPr>
      <t xml:space="preserve">LmaxG </t>
    </r>
  </si>
  <si>
    <t xml:space="preserve"> 2500 mm </t>
  </si>
  <si>
    <r>
      <t xml:space="preserve">Buckling length cw rail </t>
    </r>
    <r>
      <rPr>
        <b/>
        <sz val="12"/>
        <color theme="1"/>
        <rFont val="Calibri"/>
        <family val="2"/>
        <charset val="204"/>
        <scheme val="minor"/>
      </rPr>
      <t xml:space="preserve">LG </t>
    </r>
  </si>
  <si>
    <t xml:space="preserve"> 2950 mm </t>
  </si>
  <si>
    <r>
      <t xml:space="preserve">Guide shoe distance counterw. </t>
    </r>
    <r>
      <rPr>
        <b/>
        <sz val="12"/>
        <color theme="1"/>
        <rFont val="Calibri"/>
        <family val="2"/>
        <charset val="204"/>
        <scheme val="minor"/>
      </rPr>
      <t xml:space="preserve">hG </t>
    </r>
  </si>
  <si>
    <t xml:space="preserve">Rail data ISO 7465 </t>
  </si>
  <si>
    <t xml:space="preserve"> T 89/B (k=16mm) </t>
  </si>
  <si>
    <t xml:space="preserve"> T 90/B (k=16mm) </t>
  </si>
  <si>
    <t xml:space="preserve"> T 70/A (k=9mm) </t>
  </si>
  <si>
    <t xml:space="preserve">T 70/A (k=9mm) </t>
  </si>
  <si>
    <t xml:space="preserve">Guide rail type </t>
  </si>
  <si>
    <t xml:space="preserve"> 3036,1 mm </t>
  </si>
  <si>
    <t xml:space="preserve"> 3474,9 mm </t>
  </si>
  <si>
    <t xml:space="preserve"> 2941,6 mm </t>
  </si>
  <si>
    <t xml:space="preserve"> 3243,8 mm </t>
  </si>
  <si>
    <t>3265,2 mm</t>
  </si>
  <si>
    <t xml:space="preserve"> 3507 mm </t>
  </si>
  <si>
    <r>
      <t xml:space="preserve">Max. buckling length car rails after TKAW rule </t>
    </r>
    <r>
      <rPr>
        <b/>
        <sz val="12"/>
        <color theme="1"/>
        <rFont val="Calibri"/>
        <family val="2"/>
        <charset val="204"/>
        <scheme val="minor"/>
      </rPr>
      <t xml:space="preserve">Lmaxi </t>
    </r>
  </si>
  <si>
    <t xml:space="preserve"> 3366,8 mm </t>
  </si>
  <si>
    <t xml:space="preserve"> 3262 mm </t>
  </si>
  <si>
    <r>
      <t xml:space="preserve">Max. buckling length car rails </t>
    </r>
    <r>
      <rPr>
        <b/>
        <sz val="12"/>
        <color theme="1"/>
        <rFont val="Calibri"/>
        <family val="2"/>
        <charset val="204"/>
        <scheme val="minor"/>
      </rPr>
      <t xml:space="preserve">Lmax </t>
    </r>
  </si>
  <si>
    <r>
      <t xml:space="preserve">Buckling length car rail </t>
    </r>
    <r>
      <rPr>
        <b/>
        <sz val="12"/>
        <color theme="1"/>
        <rFont val="Calibri"/>
        <family val="2"/>
        <charset val="204"/>
        <scheme val="minor"/>
      </rPr>
      <t xml:space="preserve">L </t>
    </r>
  </si>
  <si>
    <t xml:space="preserve"> 2700 mm </t>
  </si>
  <si>
    <r>
      <t>Guide shoe distance car</t>
    </r>
    <r>
      <rPr>
        <b/>
        <sz val="12"/>
        <color theme="1"/>
        <rFont val="Calibri"/>
        <family val="2"/>
        <charset val="204"/>
        <scheme val="minor"/>
      </rPr>
      <t xml:space="preserve"> H </t>
    </r>
  </si>
  <si>
    <t>Rail data ISO 7465</t>
  </si>
  <si>
    <t>6307 kJ/h</t>
  </si>
  <si>
    <t>5669 kJ/h</t>
  </si>
  <si>
    <t>3764 kJ/h</t>
  </si>
  <si>
    <t>4166 kJ/h</t>
  </si>
  <si>
    <t>3690 kJ/h</t>
  </si>
  <si>
    <t>6048 kJ/h</t>
  </si>
  <si>
    <t>2467 kJ/h</t>
  </si>
  <si>
    <t>5342 kJ/h</t>
  </si>
  <si>
    <t>5140 kJ/h</t>
  </si>
  <si>
    <t>Total cooling load</t>
  </si>
  <si>
    <t xml:space="preserve"> 52,76 A </t>
  </si>
  <si>
    <t xml:space="preserve"> 48,76 A </t>
  </si>
  <si>
    <t xml:space="preserve"> 30,16 A </t>
  </si>
  <si>
    <t xml:space="preserve"> 35,76 A </t>
  </si>
  <si>
    <t xml:space="preserve"> 32,06 A </t>
  </si>
  <si>
    <t xml:space="preserve"> 21,56 A </t>
  </si>
  <si>
    <t xml:space="preserve">35,76 A </t>
  </si>
  <si>
    <t xml:space="preserve">23,86 A </t>
  </si>
  <si>
    <t xml:space="preserve"> 18,26 A </t>
  </si>
  <si>
    <t>Starting current</t>
  </si>
  <si>
    <t xml:space="preserve"> 33,03 A </t>
  </si>
  <si>
    <t xml:space="preserve"> 27,5 A </t>
  </si>
  <si>
    <t xml:space="preserve"> 18,29 A </t>
  </si>
  <si>
    <t xml:space="preserve"> 20,66 A </t>
  </si>
  <si>
    <t xml:space="preserve"> 18,55 A </t>
  </si>
  <si>
    <t xml:space="preserve"> 12,766 A </t>
  </si>
  <si>
    <t xml:space="preserve">20,66 A </t>
  </si>
  <si>
    <t xml:space="preserve">14,34 A </t>
  </si>
  <si>
    <t xml:space="preserve"> 10,13 A </t>
  </si>
  <si>
    <t>Rating current</t>
  </si>
  <si>
    <t xml:space="preserve">12,55 kWt </t>
  </si>
  <si>
    <t xml:space="preserve">10,45 kWt </t>
  </si>
  <si>
    <t xml:space="preserve">6,95 kWt </t>
  </si>
  <si>
    <t xml:space="preserve">7,85 kWt </t>
  </si>
  <si>
    <t xml:space="preserve">7,05 kWt </t>
  </si>
  <si>
    <t xml:space="preserve">4,85 kWt </t>
  </si>
  <si>
    <t xml:space="preserve">5,45 kWt </t>
  </si>
  <si>
    <t xml:space="preserve">3,85 kWt </t>
  </si>
  <si>
    <t>Rating power</t>
  </si>
  <si>
    <t xml:space="preserve"> 1 m/s² </t>
  </si>
  <si>
    <t xml:space="preserve"> 0,6 m/s² </t>
  </si>
  <si>
    <t xml:space="preserve"> 0,79 m/s² </t>
  </si>
  <si>
    <t xml:space="preserve"> 0,8 m/s² </t>
  </si>
  <si>
    <t xml:space="preserve">1 m/s² </t>
  </si>
  <si>
    <t xml:space="preserve">0,8 m/s² </t>
  </si>
  <si>
    <r>
      <t xml:space="preserve">Operating Acceleration </t>
    </r>
    <r>
      <rPr>
        <b/>
        <sz val="12"/>
        <color theme="1"/>
        <rFont val="Calibri"/>
        <family val="2"/>
        <charset val="204"/>
        <scheme val="minor"/>
      </rPr>
      <t xml:space="preserve">a oper </t>
    </r>
  </si>
  <si>
    <t xml:space="preserve">VVF Data </t>
  </si>
  <si>
    <t xml:space="preserve"> O1 B </t>
  </si>
  <si>
    <t xml:space="preserve"> Medtehprom</t>
  </si>
  <si>
    <t xml:space="preserve"> O1 A </t>
  </si>
  <si>
    <t xml:space="preserve"> Medtehprom </t>
  </si>
  <si>
    <t>O1 A</t>
  </si>
  <si>
    <t xml:space="preserve">  Medtehprom</t>
  </si>
  <si>
    <t xml:space="preserve">Kind of counterweight buffer </t>
  </si>
  <si>
    <t xml:space="preserve"> 1 ST </t>
  </si>
  <si>
    <t xml:space="preserve">No. of counterweight buffers </t>
  </si>
  <si>
    <t xml:space="preserve">Buffer type car </t>
  </si>
  <si>
    <t xml:space="preserve">No. of car buffers </t>
  </si>
  <si>
    <t xml:space="preserve">Buffer Data </t>
  </si>
  <si>
    <t>DAF 210 L 206</t>
  </si>
  <si>
    <t>PMC 145 XL 204</t>
  </si>
  <si>
    <t>PMC 125 L 003</t>
  </si>
  <si>
    <t>DAF 210 M 205</t>
  </si>
  <si>
    <t>PMC 145 XM 205</t>
  </si>
  <si>
    <t>PMC 125 M 002</t>
  </si>
  <si>
    <t>PMC 145 XS 206</t>
  </si>
  <si>
    <t>PMC 125 S 001</t>
  </si>
  <si>
    <t xml:space="preserve">Motor type </t>
  </si>
  <si>
    <t>DAF210</t>
  </si>
  <si>
    <t>PMC145XL2 / XL3</t>
  </si>
  <si>
    <t>PMC125L</t>
  </si>
  <si>
    <t>DAF210 M</t>
  </si>
  <si>
    <t>PMC145XM2</t>
  </si>
  <si>
    <t>PMC125M</t>
  </si>
  <si>
    <t>DAF 210 M</t>
  </si>
  <si>
    <t>PMC145XS2</t>
  </si>
  <si>
    <t>PMC125S</t>
  </si>
  <si>
    <t xml:space="preserve">Type of machine </t>
  </si>
  <si>
    <t xml:space="preserve"> Yes </t>
  </si>
  <si>
    <t xml:space="preserve">Hardened sheave </t>
  </si>
  <si>
    <r>
      <t xml:space="preserve">Undercut angle TS </t>
    </r>
    <r>
      <rPr>
        <b/>
        <sz val="12"/>
        <color theme="1"/>
        <rFont val="Calibri"/>
        <family val="2"/>
        <charset val="204"/>
        <scheme val="minor"/>
      </rPr>
      <t>β</t>
    </r>
  </si>
  <si>
    <r>
      <t xml:space="preserve">Diam. of traction sheave </t>
    </r>
    <r>
      <rPr>
        <b/>
        <sz val="12"/>
        <color theme="1"/>
        <rFont val="Calibri"/>
        <family val="2"/>
        <charset val="204"/>
        <scheme val="minor"/>
      </rPr>
      <t xml:space="preserve">Dt </t>
    </r>
  </si>
  <si>
    <t xml:space="preserve"> Seat groove</t>
  </si>
  <si>
    <t xml:space="preserve">Groove version </t>
  </si>
  <si>
    <t xml:space="preserve">Traction Sheave Data </t>
  </si>
  <si>
    <t xml:space="preserve"> 3,0 kg/m </t>
  </si>
  <si>
    <t xml:space="preserve"> 2,2 kg/m </t>
  </si>
  <si>
    <t xml:space="preserve"> 1,5 kg/m </t>
  </si>
  <si>
    <r>
      <t xml:space="preserve">C.chains mass per meter </t>
    </r>
    <r>
      <rPr>
        <b/>
        <sz val="12"/>
        <color theme="1"/>
        <rFont val="Calibri"/>
        <family val="2"/>
        <charset val="204"/>
        <scheme val="minor"/>
      </rPr>
      <t xml:space="preserve">Scr </t>
    </r>
  </si>
  <si>
    <r>
      <t xml:space="preserve">Number of compensation chains </t>
    </r>
    <r>
      <rPr>
        <b/>
        <sz val="12"/>
        <color theme="1"/>
        <rFont val="Calibri"/>
        <family val="2"/>
        <charset val="204"/>
        <scheme val="minor"/>
      </rPr>
      <t xml:space="preserve">nc </t>
    </r>
  </si>
  <si>
    <t xml:space="preserve">30m / CB300 </t>
  </si>
  <si>
    <t>37m / CB220</t>
  </si>
  <si>
    <t>37m / CB150</t>
  </si>
  <si>
    <t xml:space="preserve">&gt;37m / CB150 </t>
  </si>
  <si>
    <t>min travel hight for chain / type</t>
  </si>
  <si>
    <r>
      <t xml:space="preserve">Number of suspension ropes </t>
    </r>
    <r>
      <rPr>
        <b/>
        <sz val="12"/>
        <color theme="1"/>
        <rFont val="Calibri"/>
        <family val="2"/>
        <charset val="204"/>
        <scheme val="minor"/>
      </rPr>
      <t xml:space="preserve">ns </t>
    </r>
  </si>
  <si>
    <t>8 mm</t>
  </si>
  <si>
    <t>6 mm</t>
  </si>
  <si>
    <r>
      <t xml:space="preserve">Diameter of suspension ropes </t>
    </r>
    <r>
      <rPr>
        <b/>
        <sz val="12"/>
        <color theme="1"/>
        <rFont val="Calibri"/>
        <family val="2"/>
        <charset val="204"/>
        <scheme val="minor"/>
      </rPr>
      <t xml:space="preserve">dr </t>
    </r>
  </si>
  <si>
    <t xml:space="preserve"> PAWO F7S </t>
  </si>
  <si>
    <t>DRAKO 250T</t>
  </si>
  <si>
    <r>
      <t>Suspension rope type</t>
    </r>
    <r>
      <rPr>
        <b/>
        <sz val="12"/>
        <color theme="1"/>
        <rFont val="Calibri"/>
        <family val="2"/>
        <charset val="204"/>
        <scheme val="minor"/>
      </rPr>
      <t xml:space="preserve"> (WOLF) </t>
    </r>
  </si>
  <si>
    <t>Rope Data</t>
  </si>
  <si>
    <t>1205 kg</t>
  </si>
  <si>
    <t>1315 kg</t>
  </si>
  <si>
    <t>872 kg</t>
  </si>
  <si>
    <t>867 kg</t>
  </si>
  <si>
    <t>864 kg</t>
  </si>
  <si>
    <t>670 mm</t>
  </si>
  <si>
    <t>629 kg</t>
  </si>
  <si>
    <r>
      <t>Minimum cw mass</t>
    </r>
    <r>
      <rPr>
        <b/>
        <sz val="12"/>
        <color theme="1"/>
        <rFont val="Calibri"/>
        <family val="2"/>
        <charset val="204"/>
        <scheme val="minor"/>
      </rPr>
      <t xml:space="preserve"> (Pmin + Balance * Q + MTrav/2) Mcwtmin </t>
    </r>
  </si>
  <si>
    <t>1520 kg</t>
  </si>
  <si>
    <t>1515 kg</t>
  </si>
  <si>
    <t>1022 kg</t>
  </si>
  <si>
    <t>1017 kg</t>
  </si>
  <si>
    <t>1014 kg</t>
  </si>
  <si>
    <t>760 max</t>
  </si>
  <si>
    <t>759 kg</t>
  </si>
  <si>
    <r>
      <t xml:space="preserve">Maximum cw weight </t>
    </r>
    <r>
      <rPr>
        <b/>
        <sz val="12"/>
        <color theme="1"/>
        <rFont val="Calibri"/>
        <family val="2"/>
        <charset val="204"/>
        <scheme val="minor"/>
      </rPr>
      <t xml:space="preserve">(Pmax + Balance * Q + MTrav/2) Mcwtmax </t>
    </r>
  </si>
  <si>
    <t>Balance</t>
  </si>
  <si>
    <t xml:space="preserve">60 - 80 m </t>
  </si>
  <si>
    <t xml:space="preserve">≤ 60 m </t>
  </si>
  <si>
    <r>
      <t xml:space="preserve">Travel height </t>
    </r>
    <r>
      <rPr>
        <b/>
        <sz val="12"/>
        <color theme="1"/>
        <rFont val="Calibri"/>
        <family val="2"/>
        <charset val="204"/>
        <scheme val="minor"/>
      </rPr>
      <t xml:space="preserve">H </t>
    </r>
  </si>
  <si>
    <t xml:space="preserve"> 1,6 m/s </t>
  </si>
  <si>
    <t xml:space="preserve"> 1 m/s </t>
  </si>
  <si>
    <r>
      <t xml:space="preserve">Rated speed </t>
    </r>
    <r>
      <rPr>
        <b/>
        <sz val="12"/>
        <color theme="1"/>
        <rFont val="Calibri"/>
        <family val="2"/>
        <charset val="204"/>
        <scheme val="minor"/>
      </rPr>
      <t xml:space="preserve">vn </t>
    </r>
  </si>
  <si>
    <t xml:space="preserve"> 785 kg </t>
  </si>
  <si>
    <t xml:space="preserve"> 900 kg </t>
  </si>
  <si>
    <t xml:space="preserve"> 600 kg </t>
  </si>
  <si>
    <t xml:space="preserve"> 490 kg </t>
  </si>
  <si>
    <t xml:space="preserve"> 450 kg </t>
  </si>
  <si>
    <r>
      <t xml:space="preserve">Minimum car mass </t>
    </r>
    <r>
      <rPr>
        <b/>
        <sz val="12"/>
        <color theme="1"/>
        <rFont val="Calibri"/>
        <family val="2"/>
        <charset val="204"/>
        <scheme val="minor"/>
      </rPr>
      <t xml:space="preserve">Pmin </t>
    </r>
  </si>
  <si>
    <t xml:space="preserve"> 1100 kg </t>
  </si>
  <si>
    <t xml:space="preserve"> 750 kg </t>
  </si>
  <si>
    <t xml:space="preserve"> 580 kg </t>
  </si>
  <si>
    <r>
      <t xml:space="preserve">Maximum car mass </t>
    </r>
    <r>
      <rPr>
        <b/>
        <sz val="12"/>
        <color theme="1"/>
        <rFont val="Calibri"/>
        <family val="2"/>
        <charset val="204"/>
        <scheme val="minor"/>
      </rPr>
      <t xml:space="preserve">Pmax </t>
    </r>
  </si>
  <si>
    <t xml:space="preserve"> 1000 kg </t>
  </si>
  <si>
    <t xml:space="preserve"> 630 kg </t>
  </si>
  <si>
    <t xml:space="preserve"> 400 kg </t>
  </si>
  <si>
    <r>
      <t xml:space="preserve">Contract load </t>
    </r>
    <r>
      <rPr>
        <b/>
        <sz val="12"/>
        <color theme="1"/>
        <rFont val="Calibri"/>
        <family val="2"/>
        <charset val="204"/>
        <scheme val="minor"/>
      </rPr>
      <t xml:space="preserve">Q </t>
    </r>
  </si>
  <si>
    <t xml:space="preserve">Technical Data </t>
  </si>
  <si>
    <t>CWT</t>
  </si>
  <si>
    <t>TH&lt;60</t>
  </si>
  <si>
    <t>60&lt;=TH&lt;80</t>
  </si>
  <si>
    <t xml:space="preserve"> </t>
  </si>
  <si>
    <t>car</t>
  </si>
  <si>
    <t>T90/B</t>
  </si>
  <si>
    <t>T125B</t>
  </si>
  <si>
    <t>h1</t>
  </si>
  <si>
    <t>k</t>
  </si>
  <si>
    <t>Guide shoe insert</t>
  </si>
  <si>
    <t>Т50</t>
  </si>
  <si>
    <t>Гайка стопорная шестигранная M8 DIN7967, к.п. 8, оцинкованная</t>
  </si>
  <si>
    <t>Гайка шестигранная M8 DIN 934, к.п. 8, оцинкованная</t>
  </si>
  <si>
    <t>Болт шестигранный M8x30 DIN 933, к.п. 8.8, оцинкованный</t>
  </si>
  <si>
    <t>Т70, Т89, Т90</t>
  </si>
  <si>
    <t>Гайка стопорная шестигранная M12 DIN7967, к.п. 8, оцинкованная</t>
  </si>
  <si>
    <t>Гайка шестигранная M12 DIN 934, к.п. 8, оцинкованная</t>
  </si>
  <si>
    <t>Болт шестигранный M12x50 DIN 933, к.п. 8.8, оцинкованный</t>
  </si>
  <si>
    <t>Т125</t>
  </si>
  <si>
    <t>Гайка стопорная шестигранная M16 DIN7967, к.п. 8, оцинкованная</t>
  </si>
  <si>
    <t>Гайка шестигранная M16 DIN 934, к.п. 8, оцинкованная</t>
  </si>
  <si>
    <t>Болт шестигранный M16x60 DIN 933, к.п. 8.8, оцинкованный</t>
  </si>
  <si>
    <t>Анкер-шпил.отв.крепл. HST M12X115/20 HILTI</t>
  </si>
  <si>
    <t>anchor</t>
  </si>
  <si>
    <t>двери кабины</t>
  </si>
  <si>
    <t>двери шахты</t>
  </si>
  <si>
    <t>направляющие кабины</t>
  </si>
  <si>
    <t>направляющие противовеса</t>
  </si>
  <si>
    <t>стыковые планки</t>
  </si>
  <si>
    <t>крепеж и анкера</t>
  </si>
  <si>
    <t>кронштейны кабины</t>
  </si>
  <si>
    <t>кронштейны противовеса</t>
  </si>
  <si>
    <t>грузоместо</t>
  </si>
  <si>
    <r>
      <t>P</t>
    </r>
    <r>
      <rPr>
        <vertAlign val="subscript"/>
        <sz val="9"/>
        <color theme="1"/>
        <rFont val="Calibri"/>
        <family val="2"/>
        <charset val="204"/>
        <scheme val="minor"/>
      </rPr>
      <t>cwt</t>
    </r>
    <r>
      <rPr>
        <sz val="9"/>
        <color theme="1"/>
        <rFont val="Calibri"/>
        <family val="2"/>
        <charset val="204"/>
        <scheme val="minor"/>
      </rPr>
      <t xml:space="preserve"> (normed), kg</t>
    </r>
  </si>
  <si>
    <t>27</t>
  </si>
  <si>
    <t>Компенсационная цепь с комплектом крепления</t>
  </si>
  <si>
    <t>26</t>
  </si>
  <si>
    <t>Покрытие пола кабины, Направляющая концевого выключателя, Ограждение противовеса</t>
  </si>
  <si>
    <t>25</t>
  </si>
  <si>
    <t>Анкера</t>
  </si>
  <si>
    <t>24</t>
  </si>
  <si>
    <t>Двери шахты</t>
  </si>
  <si>
    <t>23</t>
  </si>
  <si>
    <t>Ограничитель скорости, натяжное устройство ограничителя скорости, комплект крепления</t>
  </si>
  <si>
    <t>22</t>
  </si>
  <si>
    <t>Элементы подвески канатов</t>
  </si>
  <si>
    <t>21</t>
  </si>
  <si>
    <t>Комплект канатов</t>
  </si>
  <si>
    <t>20</t>
  </si>
  <si>
    <t>Башмаки, масленки, емкости для сбора масла</t>
  </si>
  <si>
    <t>19</t>
  </si>
  <si>
    <t>Световая завеса с комплектом крепления</t>
  </si>
  <si>
    <t>18</t>
  </si>
  <si>
    <t xml:space="preserve">Блок отводной кабины (MRL) </t>
  </si>
  <si>
    <t>17</t>
  </si>
  <si>
    <t>Кабина</t>
  </si>
  <si>
    <t>16</t>
  </si>
  <si>
    <t xml:space="preserve">Блок отводной противовеса (MRL) </t>
  </si>
  <si>
    <t>15</t>
  </si>
  <si>
    <t>Груза противовеса</t>
  </si>
  <si>
    <t>14</t>
  </si>
  <si>
    <t>Рама противовеса</t>
  </si>
  <si>
    <t>13</t>
  </si>
  <si>
    <t>Буфера с комплектом крепления</t>
  </si>
  <si>
    <t>12</t>
  </si>
  <si>
    <t>Кабель-канал 100х40 мм</t>
  </si>
  <si>
    <t>11</t>
  </si>
  <si>
    <t>Лифтовой блок "Обь" и переговорное устройство</t>
  </si>
  <si>
    <t>10</t>
  </si>
  <si>
    <t>Система управления лифтом</t>
  </si>
  <si>
    <t>Рама лебедки с комплектом крепления</t>
  </si>
  <si>
    <t>Лебедка</t>
  </si>
  <si>
    <t>Техническая документация</t>
  </si>
  <si>
    <t>Кронштейны направляющих противовеса</t>
  </si>
  <si>
    <t>Кронштейны направляющих кабины</t>
  </si>
  <si>
    <t>Метизы и регулировочные пластины для направляющих</t>
  </si>
  <si>
    <t>Стыковые планки</t>
  </si>
  <si>
    <t>1</t>
  </si>
  <si>
    <t>Грузоподъемность</t>
  </si>
  <si>
    <t xml:space="preserve">400 kg </t>
  </si>
  <si>
    <t xml:space="preserve"> 400 kg </t>
  </si>
  <si>
    <t xml:space="preserve"> 630 kg </t>
  </si>
  <si>
    <t xml:space="preserve"> 1000 kg </t>
  </si>
  <si>
    <t>Макс. Высота подъема</t>
  </si>
  <si>
    <t>Балансировка</t>
  </si>
  <si>
    <t>Основное условие (высота)</t>
  </si>
  <si>
    <t>&gt;37m</t>
  </si>
  <si>
    <r>
      <t>&gt;</t>
    </r>
    <r>
      <rPr>
        <b/>
        <sz val="10"/>
        <color rgb="FF000000"/>
        <rFont val="Calibri"/>
        <family val="2"/>
        <charset val="204"/>
      </rPr>
      <t>37m</t>
    </r>
  </si>
  <si>
    <r>
      <t>&gt;</t>
    </r>
    <r>
      <rPr>
        <b/>
        <sz val="10"/>
        <color rgb="FF000000"/>
        <rFont val="Calibri"/>
        <family val="2"/>
        <charset val="204"/>
      </rPr>
      <t>30m</t>
    </r>
  </si>
  <si>
    <r>
      <t>&gt;</t>
    </r>
    <r>
      <rPr>
        <b/>
        <sz val="10"/>
        <color rgb="FF000000"/>
        <rFont val="Calibri"/>
        <family val="2"/>
        <charset val="204"/>
      </rPr>
      <t xml:space="preserve">30m </t>
    </r>
  </si>
  <si>
    <t>Кол-во цепей</t>
  </si>
  <si>
    <t xml:space="preserve"> QuietLink II QL10 - 1,49 kg/m</t>
  </si>
  <si>
    <t xml:space="preserve"> QuietLink II QL15 - 2,24 kg/m</t>
  </si>
  <si>
    <t xml:space="preserve">630 kg </t>
  </si>
  <si>
    <t xml:space="preserve">1,6 m/s </t>
  </si>
  <si>
    <t>1,6 m/s</t>
  </si>
  <si>
    <t>QuietLink II QL10 - 1,49 kg/m</t>
  </si>
  <si>
    <t>Основное условие (скорость)</t>
  </si>
  <si>
    <t>Женя</t>
  </si>
  <si>
    <t>Max. filler height</t>
  </si>
  <si>
    <t>Тема</t>
  </si>
  <si>
    <t>price</t>
  </si>
  <si>
    <t>2-створчатые</t>
  </si>
  <si>
    <t>4-створчатые</t>
  </si>
  <si>
    <t>1S</t>
  </si>
  <si>
    <t>5m</t>
  </si>
  <si>
    <t>2,5m</t>
  </si>
  <si>
    <t xml:space="preserve">ОСП0009403 </t>
  </si>
  <si>
    <t xml:space="preserve">ОСП0004419 </t>
  </si>
  <si>
    <t>G08</t>
  </si>
  <si>
    <t>Подвесной потолок</t>
  </si>
  <si>
    <t>G06</t>
  </si>
  <si>
    <t>floor,
kg</t>
  </si>
  <si>
    <t>G10</t>
  </si>
  <si>
    <t>load through</t>
  </si>
  <si>
    <t>car weight check</t>
  </si>
  <si>
    <t>?</t>
  </si>
  <si>
    <t>ok</t>
  </si>
  <si>
    <t>&lt;</t>
  </si>
  <si>
    <t>&gt;</t>
  </si>
  <si>
    <t>CWT weight check</t>
  </si>
  <si>
    <t>запретить</t>
  </si>
  <si>
    <t>QuietLink II QL075 1,12 kg/m</t>
  </si>
  <si>
    <t>Тип цепи</t>
  </si>
  <si>
    <t>Кол-во кронштейнов кабины</t>
  </si>
  <si>
    <t>id цепи</t>
  </si>
  <si>
    <t>id кронштейна кабины</t>
  </si>
  <si>
    <t>Кол-во кронштейнов противовеса</t>
  </si>
  <si>
    <t>id кронштейна противовеса</t>
  </si>
  <si>
    <t> 1000 kg D</t>
  </si>
  <si>
    <t> 1000 kg W</t>
  </si>
  <si>
    <t>TW45_H_R_32:1_5,5_520_6X8_14_V</t>
  </si>
  <si>
    <t>TW45_H_R_41:2_7,5_520_6X8_18,5</t>
  </si>
  <si>
    <t>TW45_H_R_32:1_7,5_440_7X8_16_V</t>
  </si>
  <si>
    <t>TW63_V_L_48:2_10_590_7x10_17_S105</t>
  </si>
  <si>
    <t>TW63_H_R_33:1_15_510_6X11_18_V41</t>
  </si>
  <si>
    <t>TW130_V_L_35:1_15_900_6x11_21,6_S100</t>
  </si>
  <si>
    <t>Product catalogue characteristics</t>
  </si>
  <si>
    <t>Elevator characteristics</t>
  </si>
  <si>
    <t>40451504010 / 62310003843C</t>
  </si>
  <si>
    <t>40451504011 / 62310003843B</t>
  </si>
  <si>
    <t>40451504015 / 62310003843H</t>
  </si>
  <si>
    <t>40451504016 / 6232001010B</t>
  </si>
  <si>
    <t>40451504022 / 6232001010G</t>
  </si>
  <si>
    <t>40451504030 / 62330006923G</t>
  </si>
  <si>
    <t>40451504031 / 62330006923F</t>
  </si>
  <si>
    <t>TW130_V_L_35:1_15_720_6x11_21,6_S100</t>
  </si>
  <si>
    <t>PMC125S001</t>
  </si>
  <si>
    <t>PMC125M002</t>
  </si>
  <si>
    <t>PMC125L003</t>
  </si>
  <si>
    <t>DAF210M205</t>
  </si>
  <si>
    <t>DAF210L206</t>
  </si>
  <si>
    <r>
      <t>PMC145XS2</t>
    </r>
    <r>
      <rPr>
        <sz val="9"/>
        <rFont val="Calibri"/>
        <family val="2"/>
        <scheme val="minor"/>
      </rPr>
      <t>06</t>
    </r>
  </si>
  <si>
    <r>
      <t>PMC145</t>
    </r>
    <r>
      <rPr>
        <sz val="9"/>
        <rFont val="Calibri"/>
        <family val="2"/>
        <scheme val="minor"/>
      </rPr>
      <t>XM205</t>
    </r>
  </si>
  <si>
    <r>
      <t>PMC145</t>
    </r>
    <r>
      <rPr>
        <sz val="9"/>
        <rFont val="Calibri"/>
        <family val="2"/>
        <scheme val="minor"/>
      </rPr>
      <t>XL204</t>
    </r>
  </si>
  <si>
    <t>стандарт EN81-20/50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</si>
</sst>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0.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sz val="10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4"/>
      <color theme="3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</font>
    <font>
      <b/>
      <sz val="9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vertAlign val="subscript"/>
      <sz val="9"/>
      <color theme="1"/>
      <name val="Calibri"/>
      <family val="2"/>
      <charset val="204"/>
      <scheme val="minor"/>
    </font>
    <font>
      <sz val="8"/>
      <name val="Arial"/>
      <family val="2"/>
    </font>
    <font>
      <sz val="8"/>
      <color indexed="8"/>
      <name val="Arial"/>
      <family val="2"/>
    </font>
    <font>
      <sz val="10"/>
      <color rgb="FF000000"/>
      <name val="Calibri"/>
      <family val="2"/>
      <charset val="204"/>
    </font>
    <font>
      <sz val="10"/>
      <color theme="1"/>
      <name val="Calibri"/>
      <family val="2"/>
      <charset val="204"/>
    </font>
    <font>
      <b/>
      <sz val="10"/>
      <color rgb="FF000000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1"/>
      <color rgb="FFFFC000"/>
      <name val="Calibri"/>
      <family val="2"/>
      <charset val="204"/>
      <scheme val="minor"/>
    </font>
    <font>
      <sz val="10"/>
      <name val="Calibri"/>
      <family val="2"/>
      <charset val="204"/>
    </font>
    <font>
      <strike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0" borderId="0"/>
    <xf numFmtId="0" fontId="2" fillId="12" borderId="0" applyNumberFormat="0" applyBorder="0" applyAlignment="0" applyProtection="0"/>
    <xf numFmtId="0" fontId="2" fillId="0" borderId="0"/>
    <xf numFmtId="0" fontId="27" fillId="0" borderId="0"/>
    <xf numFmtId="0" fontId="1" fillId="0" borderId="0"/>
  </cellStyleXfs>
  <cellXfs count="253">
    <xf numFmtId="0" fontId="0" fillId="0" borderId="0" xfId="0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3" xfId="0" applyFont="1" applyBorder="1" applyAlignme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/>
    </xf>
    <xf numFmtId="0" fontId="6" fillId="6" borderId="3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center"/>
    </xf>
    <xf numFmtId="0" fontId="3" fillId="0" borderId="0" xfId="4" applyAlignment="1">
      <alignment horizontal="center" vertical="center"/>
    </xf>
    <xf numFmtId="0" fontId="3" fillId="0" borderId="0" xfId="4"/>
    <xf numFmtId="0" fontId="3" fillId="0" borderId="1" xfId="4" applyBorder="1"/>
    <xf numFmtId="0" fontId="3" fillId="8" borderId="1" xfId="4" applyFill="1" applyBorder="1"/>
    <xf numFmtId="0" fontId="5" fillId="8" borderId="1" xfId="4" applyFont="1" applyFill="1" applyBorder="1"/>
    <xf numFmtId="0" fontId="3" fillId="0" borderId="1" xfId="4" applyBorder="1" applyAlignment="1"/>
    <xf numFmtId="0" fontId="3" fillId="0" borderId="1" xfId="4" applyFont="1" applyBorder="1"/>
    <xf numFmtId="0" fontId="3" fillId="0" borderId="7" xfId="4" applyBorder="1" applyAlignment="1">
      <alignment vertical="center"/>
    </xf>
    <xf numFmtId="0" fontId="5" fillId="8" borderId="1" xfId="4" applyFont="1" applyFill="1" applyBorder="1" applyAlignment="1">
      <alignment horizontal="center"/>
    </xf>
    <xf numFmtId="0" fontId="0" fillId="0" borderId="1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1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0" fillId="0" borderId="1" xfId="0" applyNumberFormat="1" applyFont="1" applyFill="1" applyBorder="1" applyAlignment="1">
      <alignment horizontal="center" vertical="center"/>
    </xf>
    <xf numFmtId="0" fontId="10" fillId="0" borderId="16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49" fontId="0" fillId="0" borderId="15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9" borderId="12" xfId="0" applyFont="1" applyFill="1" applyBorder="1" applyAlignment="1">
      <alignment horizontal="center" vertical="center"/>
    </xf>
    <xf numFmtId="0" fontId="13" fillId="9" borderId="12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9" borderId="23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/>
    </xf>
    <xf numFmtId="164" fontId="0" fillId="0" borderId="0" xfId="0" applyNumberFormat="1"/>
    <xf numFmtId="0" fontId="0" fillId="0" borderId="0" xfId="0" applyNumberFormat="1"/>
    <xf numFmtId="0" fontId="14" fillId="0" borderId="0" xfId="0" applyNumberFormat="1" applyFont="1"/>
    <xf numFmtId="0" fontId="0" fillId="0" borderId="0" xfId="0" applyNumberFormat="1" applyBorder="1"/>
    <xf numFmtId="14" fontId="0" fillId="0" borderId="1" xfId="0" applyNumberFormat="1" applyBorder="1"/>
    <xf numFmtId="0" fontId="2" fillId="12" borderId="1" xfId="5" applyBorder="1" applyAlignment="1">
      <alignment horizontal="center"/>
    </xf>
    <xf numFmtId="0" fontId="2" fillId="12" borderId="1" xfId="5" applyFont="1" applyBorder="1" applyAlignment="1">
      <alignment horizontal="center"/>
    </xf>
    <xf numFmtId="0" fontId="2" fillId="12" borderId="3" xfId="5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5" applyFill="1" applyBorder="1" applyAlignment="1">
      <alignment horizontal="center"/>
    </xf>
    <xf numFmtId="0" fontId="1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6"/>
    <xf numFmtId="0" fontId="2" fillId="16" borderId="1" xfId="6" applyFill="1" applyBorder="1" applyAlignment="1">
      <alignment horizontal="center"/>
    </xf>
    <xf numFmtId="0" fontId="2" fillId="17" borderId="0" xfId="6" applyFill="1"/>
    <xf numFmtId="0" fontId="2" fillId="16" borderId="1" xfId="6" applyFill="1" applyBorder="1" applyAlignment="1">
      <alignment horizontal="center" vertical="center"/>
    </xf>
    <xf numFmtId="0" fontId="10" fillId="16" borderId="1" xfId="6" applyFont="1" applyFill="1" applyBorder="1" applyAlignment="1">
      <alignment horizontal="center" vertical="center"/>
    </xf>
    <xf numFmtId="0" fontId="18" fillId="0" borderId="1" xfId="6" applyFont="1" applyBorder="1" applyAlignment="1">
      <alignment horizontal="center" vertical="center"/>
    </xf>
    <xf numFmtId="0" fontId="2" fillId="0" borderId="1" xfId="6" applyBorder="1" applyAlignment="1">
      <alignment horizontal="center" vertical="center"/>
    </xf>
    <xf numFmtId="0" fontId="2" fillId="0" borderId="1" xfId="6" applyFill="1" applyBorder="1" applyAlignment="1">
      <alignment horizontal="center" vertical="center"/>
    </xf>
    <xf numFmtId="0" fontId="10" fillId="0" borderId="1" xfId="6" applyFont="1" applyFill="1" applyBorder="1" applyAlignment="1">
      <alignment horizontal="center" vertical="center"/>
    </xf>
    <xf numFmtId="0" fontId="2" fillId="7" borderId="1" xfId="6" applyFill="1" applyBorder="1" applyAlignment="1">
      <alignment horizontal="center" vertical="center"/>
    </xf>
    <xf numFmtId="0" fontId="18" fillId="0" borderId="1" xfId="6" applyFont="1" applyFill="1" applyBorder="1" applyAlignment="1">
      <alignment horizontal="center" vertical="center"/>
    </xf>
    <xf numFmtId="0" fontId="2" fillId="0" borderId="0" xfId="6" applyFill="1" applyBorder="1" applyAlignment="1">
      <alignment horizontal="center" vertical="center"/>
    </xf>
    <xf numFmtId="0" fontId="10" fillId="0" borderId="0" xfId="6" applyFont="1" applyFill="1" applyBorder="1" applyAlignment="1">
      <alignment horizontal="center" vertical="center"/>
    </xf>
    <xf numFmtId="0" fontId="18" fillId="0" borderId="0" xfId="6" applyFont="1" applyFill="1" applyBorder="1" applyAlignment="1">
      <alignment horizontal="center" vertical="center"/>
    </xf>
    <xf numFmtId="0" fontId="2" fillId="16" borderId="1" xfId="6" applyFill="1" applyBorder="1" applyAlignment="1">
      <alignment horizontal="center" vertical="center" wrapText="1"/>
    </xf>
    <xf numFmtId="0" fontId="10" fillId="16" borderId="1" xfId="6" applyFont="1" applyFill="1" applyBorder="1" applyAlignment="1">
      <alignment horizontal="center" vertical="center" wrapText="1"/>
    </xf>
    <xf numFmtId="0" fontId="2" fillId="0" borderId="0" xfId="6" applyFill="1"/>
    <xf numFmtId="9" fontId="2" fillId="16" borderId="1" xfId="6" applyNumberForma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5" borderId="1" xfId="0" applyFont="1" applyFill="1" applyBorder="1" applyAlignment="1">
      <alignment horizontal="center"/>
    </xf>
    <xf numFmtId="0" fontId="23" fillId="0" borderId="28" xfId="0" applyFont="1" applyFill="1" applyBorder="1" applyAlignment="1">
      <alignment horizontal="center" vertical="center"/>
    </xf>
    <xf numFmtId="0" fontId="23" fillId="0" borderId="29" xfId="0" applyFont="1" applyFill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0" xfId="0" applyFont="1"/>
    <xf numFmtId="0" fontId="6" fillId="0" borderId="1" xfId="0" applyFont="1" applyBorder="1"/>
    <xf numFmtId="0" fontId="24" fillId="14" borderId="1" xfId="0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25" fillId="2" borderId="1" xfId="1" applyFont="1" applyBorder="1" applyAlignment="1">
      <alignment horizontal="center"/>
    </xf>
    <xf numFmtId="0" fontId="25" fillId="0" borderId="0" xfId="4" applyFont="1"/>
    <xf numFmtId="0" fontId="25" fillId="3" borderId="1" xfId="2" applyFont="1" applyBorder="1" applyAlignment="1">
      <alignment horizontal="center" vertical="center"/>
    </xf>
    <xf numFmtId="0" fontId="25" fillId="3" borderId="1" xfId="2" applyFont="1" applyBorder="1" applyAlignment="1">
      <alignment horizontal="left" vertical="center"/>
    </xf>
    <xf numFmtId="0" fontId="25" fillId="3" borderId="1" xfId="2" applyFont="1" applyBorder="1" applyAlignment="1">
      <alignment horizontal="center"/>
    </xf>
    <xf numFmtId="2" fontId="25" fillId="3" borderId="1" xfId="2" applyNumberFormat="1" applyFont="1" applyBorder="1" applyAlignment="1">
      <alignment horizontal="center"/>
    </xf>
    <xf numFmtId="0" fontId="25" fillId="0" borderId="1" xfId="4" applyFont="1" applyBorder="1" applyAlignment="1">
      <alignment horizontal="center"/>
    </xf>
    <xf numFmtId="0" fontId="25" fillId="0" borderId="0" xfId="4" applyFont="1" applyAlignment="1">
      <alignment horizontal="center"/>
    </xf>
    <xf numFmtId="0" fontId="25" fillId="2" borderId="7" xfId="1" applyFont="1" applyBorder="1" applyAlignment="1">
      <alignment horizontal="center"/>
    </xf>
    <xf numFmtId="0" fontId="25" fillId="3" borderId="3" xfId="2" applyFont="1" applyBorder="1" applyAlignment="1">
      <alignment horizontal="left" vertical="center"/>
    </xf>
    <xf numFmtId="0" fontId="25" fillId="4" borderId="10" xfId="3" applyFont="1" applyBorder="1" applyAlignment="1">
      <alignment horizontal="center"/>
    </xf>
    <xf numFmtId="0" fontId="25" fillId="4" borderId="7" xfId="3" applyFont="1" applyBorder="1" applyAlignment="1">
      <alignment horizontal="center"/>
    </xf>
    <xf numFmtId="0" fontId="25" fillId="4" borderId="2" xfId="3" applyFont="1" applyBorder="1" applyAlignment="1">
      <alignment horizontal="center"/>
    </xf>
    <xf numFmtId="0" fontId="25" fillId="4" borderId="1" xfId="3" applyFont="1" applyBorder="1" applyAlignment="1">
      <alignment horizontal="center"/>
    </xf>
    <xf numFmtId="0" fontId="25" fillId="4" borderId="9" xfId="3" applyFont="1" applyBorder="1" applyAlignment="1">
      <alignment horizontal="center"/>
    </xf>
    <xf numFmtId="2" fontId="25" fillId="4" borderId="6" xfId="3" applyNumberFormat="1" applyFont="1" applyBorder="1" applyAlignment="1">
      <alignment horizontal="center"/>
    </xf>
    <xf numFmtId="1" fontId="25" fillId="4" borderId="6" xfId="3" applyNumberFormat="1" applyFont="1" applyBorder="1" applyAlignment="1">
      <alignment horizontal="center"/>
    </xf>
    <xf numFmtId="0" fontId="25" fillId="4" borderId="8" xfId="3" applyFont="1" applyBorder="1" applyAlignment="1">
      <alignment horizontal="center"/>
    </xf>
    <xf numFmtId="0" fontId="25" fillId="4" borderId="5" xfId="3" applyFont="1" applyBorder="1" applyAlignment="1">
      <alignment horizontal="center"/>
    </xf>
    <xf numFmtId="1" fontId="28" fillId="18" borderId="30" xfId="7" applyNumberFormat="1" applyFont="1" applyFill="1" applyBorder="1" applyAlignment="1">
      <alignment horizontal="center" vertical="top"/>
    </xf>
    <xf numFmtId="0" fontId="28" fillId="18" borderId="30" xfId="7" applyNumberFormat="1" applyFont="1" applyFill="1" applyBorder="1" applyAlignment="1">
      <alignment horizontal="left" vertical="top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9" fontId="29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25" fillId="2" borderId="1" xfId="1" applyFont="1" applyBorder="1" applyAlignment="1">
      <alignment horizontal="center"/>
    </xf>
    <xf numFmtId="0" fontId="33" fillId="9" borderId="1" xfId="4" applyFont="1" applyFill="1" applyBorder="1" applyAlignment="1">
      <alignment horizontal="center" vertical="center"/>
    </xf>
    <xf numFmtId="0" fontId="33" fillId="9" borderId="1" xfId="4" applyFont="1" applyFill="1" applyBorder="1" applyAlignment="1">
      <alignment horizontal="center" vertical="center" wrapText="1"/>
    </xf>
    <xf numFmtId="0" fontId="33" fillId="11" borderId="1" xfId="4" applyFont="1" applyFill="1" applyBorder="1" applyAlignment="1">
      <alignment horizontal="center" vertical="center"/>
    </xf>
    <xf numFmtId="0" fontId="34" fillId="0" borderId="1" xfId="4" applyFont="1" applyFill="1" applyBorder="1" applyAlignment="1">
      <alignment horizontal="center" vertical="center"/>
    </xf>
    <xf numFmtId="0" fontId="34" fillId="10" borderId="1" xfId="4" applyFont="1" applyFill="1" applyBorder="1" applyAlignment="1">
      <alignment horizontal="center" vertical="center"/>
    </xf>
    <xf numFmtId="0" fontId="34" fillId="0" borderId="1" xfId="4" applyFont="1" applyBorder="1" applyAlignment="1">
      <alignment horizontal="center" vertical="center"/>
    </xf>
    <xf numFmtId="0" fontId="35" fillId="0" borderId="1" xfId="4" applyFont="1" applyFill="1" applyBorder="1" applyAlignment="1">
      <alignment horizontal="center" vertical="center"/>
    </xf>
    <xf numFmtId="0" fontId="35" fillId="0" borderId="1" xfId="4" applyFont="1" applyBorder="1" applyAlignment="1">
      <alignment horizontal="center" vertical="center"/>
    </xf>
    <xf numFmtId="0" fontId="36" fillId="0" borderId="0" xfId="4" applyFont="1"/>
    <xf numFmtId="0" fontId="34" fillId="0" borderId="0" xfId="4" applyFont="1"/>
    <xf numFmtId="0" fontId="37" fillId="0" borderId="0" xfId="0" applyFont="1" applyBorder="1" applyAlignment="1">
      <alignment horizontal="center"/>
    </xf>
    <xf numFmtId="0" fontId="37" fillId="8" borderId="27" xfId="0" applyFont="1" applyFill="1" applyBorder="1" applyAlignment="1">
      <alignment horizontal="left"/>
    </xf>
    <xf numFmtId="0" fontId="37" fillId="8" borderId="4" xfId="0" applyFont="1" applyFill="1" applyBorder="1" applyAlignment="1">
      <alignment horizontal="left"/>
    </xf>
    <xf numFmtId="0" fontId="37" fillId="0" borderId="0" xfId="0" applyFont="1" applyBorder="1"/>
    <xf numFmtId="0" fontId="37" fillId="13" borderId="27" xfId="0" applyFont="1" applyFill="1" applyBorder="1" applyAlignment="1">
      <alignment horizontal="center"/>
    </xf>
    <xf numFmtId="0" fontId="37" fillId="0" borderId="27" xfId="0" applyFont="1" applyBorder="1" applyAlignment="1">
      <alignment horizontal="center"/>
    </xf>
    <xf numFmtId="0" fontId="37" fillId="0" borderId="27" xfId="0" applyFont="1" applyBorder="1"/>
    <xf numFmtId="0" fontId="37" fillId="0" borderId="0" xfId="0" applyFont="1" applyAlignment="1">
      <alignment horizontal="center"/>
    </xf>
    <xf numFmtId="0" fontId="37" fillId="0" borderId="0" xfId="0" applyFont="1"/>
    <xf numFmtId="1" fontId="25" fillId="4" borderId="2" xfId="3" applyNumberFormat="1" applyFont="1" applyBorder="1" applyAlignment="1">
      <alignment horizontal="center"/>
    </xf>
    <xf numFmtId="0" fontId="1" fillId="0" borderId="0" xfId="8" applyAlignment="1">
      <alignment horizontal="center" vertical="center"/>
    </xf>
    <xf numFmtId="0" fontId="1" fillId="0" borderId="0" xfId="8"/>
    <xf numFmtId="0" fontId="1" fillId="0" borderId="0" xfId="8" applyAlignment="1">
      <alignment horizontal="left" vertical="center"/>
    </xf>
    <xf numFmtId="2" fontId="1" fillId="0" borderId="0" xfId="8" applyNumberFormat="1" applyFill="1" applyBorder="1" applyAlignment="1">
      <alignment horizontal="center" vertical="center"/>
    </xf>
    <xf numFmtId="0" fontId="1" fillId="0" borderId="0" xfId="8" applyFill="1" applyBorder="1" applyAlignment="1">
      <alignment horizontal="center" vertical="center"/>
    </xf>
    <xf numFmtId="0" fontId="10" fillId="0" borderId="0" xfId="8" applyFont="1" applyFill="1" applyBorder="1" applyAlignment="1">
      <alignment horizontal="center" vertical="center"/>
    </xf>
    <xf numFmtId="0" fontId="11" fillId="0" borderId="0" xfId="8" applyFont="1" applyFill="1" applyBorder="1" applyAlignment="1">
      <alignment horizontal="center" vertical="center"/>
    </xf>
    <xf numFmtId="0" fontId="11" fillId="7" borderId="0" xfId="8" applyFont="1" applyFill="1" applyBorder="1" applyAlignment="1">
      <alignment horizontal="center" vertical="center"/>
    </xf>
    <xf numFmtId="165" fontId="1" fillId="0" borderId="0" xfId="8" applyNumberFormat="1" applyFill="1" applyBorder="1" applyAlignment="1">
      <alignment horizontal="center" vertical="center"/>
    </xf>
    <xf numFmtId="0" fontId="10" fillId="0" borderId="1" xfId="8" applyFont="1" applyFill="1" applyBorder="1" applyAlignment="1">
      <alignment horizontal="center" vertical="center"/>
    </xf>
    <xf numFmtId="0" fontId="11" fillId="0" borderId="1" xfId="8" applyFont="1" applyFill="1" applyBorder="1" applyAlignment="1">
      <alignment horizontal="center" vertical="center"/>
    </xf>
    <xf numFmtId="0" fontId="38" fillId="0" borderId="1" xfId="8" applyFont="1" applyFill="1" applyBorder="1" applyAlignment="1">
      <alignment horizontal="center" vertical="center"/>
    </xf>
    <xf numFmtId="2" fontId="1" fillId="0" borderId="1" xfId="8" applyNumberFormat="1" applyFill="1" applyBorder="1" applyAlignment="1">
      <alignment horizontal="center" vertical="center"/>
    </xf>
    <xf numFmtId="0" fontId="1" fillId="0" borderId="1" xfId="8" applyFill="1" applyBorder="1" applyAlignment="1">
      <alignment horizontal="center" vertical="center"/>
    </xf>
    <xf numFmtId="1" fontId="1" fillId="0" borderId="1" xfId="8" applyNumberForma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4" fillId="0" borderId="1" xfId="8" applyFont="1" applyFill="1" applyBorder="1" applyAlignment="1">
      <alignment horizontal="center" vertical="center"/>
    </xf>
    <xf numFmtId="2" fontId="4" fillId="0" borderId="1" xfId="8" applyNumberFormat="1" applyFont="1" applyFill="1" applyBorder="1" applyAlignment="1">
      <alignment horizontal="center" vertical="center"/>
    </xf>
    <xf numFmtId="0" fontId="4" fillId="7" borderId="1" xfId="8" applyFont="1" applyFill="1" applyBorder="1" applyAlignment="1">
      <alignment horizontal="center" vertical="center"/>
    </xf>
    <xf numFmtId="1" fontId="4" fillId="0" borderId="1" xfId="8" applyNumberFormat="1" applyFont="1" applyFill="1" applyBorder="1" applyAlignment="1">
      <alignment horizontal="center" vertical="center"/>
    </xf>
    <xf numFmtId="0" fontId="1" fillId="0" borderId="1" xfId="8" applyFont="1" applyFill="1" applyBorder="1" applyAlignment="1">
      <alignment horizontal="center" vertical="center"/>
    </xf>
    <xf numFmtId="0" fontId="11" fillId="7" borderId="1" xfId="8" applyFont="1" applyFill="1" applyBorder="1" applyAlignment="1">
      <alignment horizontal="center" vertical="center"/>
    </xf>
    <xf numFmtId="1" fontId="1" fillId="0" borderId="1" xfId="8" applyNumberFormat="1" applyFont="1" applyFill="1" applyBorder="1" applyAlignment="1">
      <alignment horizontal="center" vertical="center"/>
    </xf>
    <xf numFmtId="0" fontId="1" fillId="6" borderId="1" xfId="8" applyFill="1" applyBorder="1" applyAlignment="1">
      <alignment horizontal="center" vertical="center"/>
    </xf>
    <xf numFmtId="0" fontId="5" fillId="5" borderId="1" xfId="8" applyFont="1" applyFill="1" applyBorder="1" applyAlignment="1">
      <alignment horizontal="center" vertical="center" wrapText="1"/>
    </xf>
    <xf numFmtId="0" fontId="34" fillId="0" borderId="0" xfId="0" applyFont="1"/>
    <xf numFmtId="0" fontId="29" fillId="13" borderId="7" xfId="0" applyFont="1" applyFill="1" applyBorder="1" applyAlignment="1">
      <alignment horizontal="center" vertical="center" wrapText="1"/>
    </xf>
    <xf numFmtId="0" fontId="29" fillId="13" borderId="7" xfId="0" applyFont="1" applyFill="1" applyBorder="1" applyAlignment="1">
      <alignment horizontal="center" vertical="center"/>
    </xf>
    <xf numFmtId="0" fontId="30" fillId="13" borderId="7" xfId="0" applyFont="1" applyFill="1" applyBorder="1" applyAlignment="1">
      <alignment horizontal="center" vertical="center"/>
    </xf>
    <xf numFmtId="0" fontId="29" fillId="13" borderId="1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 vertical="center" wrapText="1"/>
    </xf>
    <xf numFmtId="0" fontId="39" fillId="13" borderId="1" xfId="0" applyFont="1" applyFill="1" applyBorder="1" applyAlignment="1">
      <alignment horizontal="center" vertical="center"/>
    </xf>
    <xf numFmtId="0" fontId="39" fillId="13" borderId="7" xfId="0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/>
    </xf>
    <xf numFmtId="0" fontId="31" fillId="5" borderId="1" xfId="0" applyFont="1" applyFill="1" applyBorder="1" applyAlignment="1">
      <alignment horizontal="center" vertical="center" wrapText="1"/>
    </xf>
    <xf numFmtId="0" fontId="3" fillId="0" borderId="7" xfId="4" applyBorder="1" applyAlignment="1">
      <alignment horizontal="center" vertical="center"/>
    </xf>
    <xf numFmtId="0" fontId="3" fillId="0" borderId="6" xfId="4" applyBorder="1" applyAlignment="1">
      <alignment horizontal="center" vertical="center"/>
    </xf>
    <xf numFmtId="0" fontId="3" fillId="0" borderId="5" xfId="4" applyBorder="1" applyAlignment="1">
      <alignment horizontal="center" vertical="center"/>
    </xf>
    <xf numFmtId="0" fontId="25" fillId="2" borderId="1" xfId="1" applyFont="1" applyBorder="1" applyAlignment="1">
      <alignment horizontal="center"/>
    </xf>
    <xf numFmtId="0" fontId="33" fillId="9" borderId="3" xfId="4" applyFont="1" applyFill="1" applyBorder="1" applyAlignment="1">
      <alignment horizontal="center" vertical="center" wrapText="1"/>
    </xf>
    <xf numFmtId="0" fontId="33" fillId="9" borderId="4" xfId="4" applyFont="1" applyFill="1" applyBorder="1" applyAlignment="1">
      <alignment horizontal="center" vertical="center" wrapText="1"/>
    </xf>
    <xf numFmtId="0" fontId="33" fillId="9" borderId="2" xfId="4" applyFont="1" applyFill="1" applyBorder="1" applyAlignment="1">
      <alignment horizontal="center" vertical="center" wrapText="1"/>
    </xf>
    <xf numFmtId="0" fontId="33" fillId="9" borderId="1" xfId="4" applyFont="1" applyFill="1" applyBorder="1" applyAlignment="1">
      <alignment horizontal="center" vertical="center" wrapText="1"/>
    </xf>
    <xf numFmtId="0" fontId="20" fillId="5" borderId="10" xfId="0" applyFont="1" applyFill="1" applyBorder="1" applyAlignment="1">
      <alignment horizontal="center" vertical="center"/>
    </xf>
    <xf numFmtId="0" fontId="20" fillId="5" borderId="28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0" fontId="20" fillId="5" borderId="29" xfId="0" applyFont="1" applyFill="1" applyBorder="1" applyAlignment="1">
      <alignment horizontal="center" vertical="center"/>
    </xf>
    <xf numFmtId="0" fontId="20" fillId="5" borderId="8" xfId="0" applyFont="1" applyFill="1" applyBorder="1" applyAlignment="1">
      <alignment horizontal="center" vertical="center"/>
    </xf>
    <xf numFmtId="0" fontId="20" fillId="5" borderId="3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17" fillId="17" borderId="3" xfId="6" applyFont="1" applyFill="1" applyBorder="1" applyAlignment="1">
      <alignment horizontal="left" vertical="center" indent="2"/>
    </xf>
    <xf numFmtId="0" fontId="17" fillId="17" borderId="4" xfId="6" applyFont="1" applyFill="1" applyBorder="1" applyAlignment="1">
      <alignment horizontal="left" vertical="center" indent="2"/>
    </xf>
    <xf numFmtId="0" fontId="17" fillId="17" borderId="2" xfId="6" applyFont="1" applyFill="1" applyBorder="1" applyAlignment="1">
      <alignment horizontal="left" vertical="center" indent="2"/>
    </xf>
    <xf numFmtId="0" fontId="17" fillId="11" borderId="1" xfId="6" applyFont="1" applyFill="1" applyBorder="1" applyAlignment="1">
      <alignment horizontal="left" vertical="center" indent="2"/>
    </xf>
    <xf numFmtId="0" fontId="17" fillId="11" borderId="3" xfId="6" applyFont="1" applyFill="1" applyBorder="1" applyAlignment="1">
      <alignment horizontal="left" vertical="center" indent="2"/>
    </xf>
    <xf numFmtId="0" fontId="17" fillId="11" borderId="4" xfId="6" applyFont="1" applyFill="1" applyBorder="1" applyAlignment="1">
      <alignment horizontal="left" vertical="center" indent="2"/>
    </xf>
    <xf numFmtId="0" fontId="17" fillId="11" borderId="2" xfId="6" applyFont="1" applyFill="1" applyBorder="1" applyAlignment="1">
      <alignment horizontal="left" vertical="center" indent="2"/>
    </xf>
    <xf numFmtId="0" fontId="17" fillId="0" borderId="1" xfId="6" applyFont="1" applyFill="1" applyBorder="1" applyAlignment="1">
      <alignment horizontal="left" vertical="center" indent="2"/>
    </xf>
  </cellXfs>
  <cellStyles count="9">
    <cellStyle name="20% — акцент4" xfId="2" builtinId="42"/>
    <cellStyle name="20% — акцент5" xfId="5" builtinId="46"/>
    <cellStyle name="20% — акцент6" xfId="3" builtinId="50"/>
    <cellStyle name="40% — акцент1" xfId="1" builtinId="31"/>
    <cellStyle name="Обычный" xfId="0" builtinId="0"/>
    <cellStyle name="Обычный 2" xfId="4"/>
    <cellStyle name="Обычный 2 2" xfId="8"/>
    <cellStyle name="Обычный 3" xfId="6"/>
    <cellStyle name="Обычный_Лист1" xfId="7"/>
  </cellStyles>
  <dxfs count="3"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gif"/><Relationship Id="rId2" Type="http://schemas.openxmlformats.org/officeDocument/2006/relationships/image" Target="cid:image004.png@01D4C49B.630390A0" TargetMode="External"/><Relationship Id="rId1" Type="http://schemas.openxmlformats.org/officeDocument/2006/relationships/image" Target="../media/image3.gif"/><Relationship Id="rId5" Type="http://schemas.openxmlformats.org/officeDocument/2006/relationships/image" Target="../media/image5.gif"/><Relationship Id="rId4" Type="http://schemas.openxmlformats.org/officeDocument/2006/relationships/image" Target="cid:image005.png@01D4C49B.630390A0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369794</xdr:colOff>
      <xdr:row>0</xdr:row>
      <xdr:rowOff>173935</xdr:rowOff>
    </xdr:from>
    <xdr:ext cx="7792361" cy="7490888"/>
    <xdr:pic>
      <xdr:nvPicPr>
        <xdr:cNvPr id="39" name="Рисунок 3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0" y="173935"/>
          <a:ext cx="7792361" cy="7490888"/>
        </a:xfrm>
        <a:prstGeom prst="rect">
          <a:avLst/>
        </a:prstGeom>
      </xdr:spPr>
    </xdr:pic>
    <xdr:clientData/>
  </xdr:oneCellAnchor>
  <xdr:twoCellAnchor editAs="oneCell">
    <xdr:from>
      <xdr:col>13</xdr:col>
      <xdr:colOff>291354</xdr:colOff>
      <xdr:row>1</xdr:row>
      <xdr:rowOff>11206</xdr:rowOff>
    </xdr:from>
    <xdr:to>
      <xdr:col>29</xdr:col>
      <xdr:colOff>448234</xdr:colOff>
      <xdr:row>18</xdr:row>
      <xdr:rowOff>160538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95413" y="201706"/>
          <a:ext cx="9838763" cy="35783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28</xdr:col>
      <xdr:colOff>66675</xdr:colOff>
      <xdr:row>52</xdr:row>
      <xdr:rowOff>28575</xdr:rowOff>
    </xdr:to>
    <xdr:pic>
      <xdr:nvPicPr>
        <xdr:cNvPr id="2" name="Рисунок 3" descr="cid:image004.png@01D4C49B.630390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90975"/>
          <a:ext cx="16525875" cy="612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22</xdr:row>
      <xdr:rowOff>0</xdr:rowOff>
    </xdr:from>
    <xdr:to>
      <xdr:col>8</xdr:col>
      <xdr:colOff>447675</xdr:colOff>
      <xdr:row>53</xdr:row>
      <xdr:rowOff>19050</xdr:rowOff>
    </xdr:to>
    <xdr:pic>
      <xdr:nvPicPr>
        <xdr:cNvPr id="3" name="Рисунок 4" descr="cid:image005.png@01D4C49B.630390A0"/>
        <xdr:cNvPicPr>
          <a:picLocks noChangeAspect="1" noChangeArrowheads="1"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71975"/>
          <a:ext cx="4714875" cy="592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314325</xdr:colOff>
      <xdr:row>10</xdr:row>
      <xdr:rowOff>47625</xdr:rowOff>
    </xdr:from>
    <xdr:to>
      <xdr:col>23</xdr:col>
      <xdr:colOff>571500</xdr:colOff>
      <xdr:row>17</xdr:row>
      <xdr:rowOff>104775</xdr:rowOff>
    </xdr:to>
    <xdr:pic>
      <xdr:nvPicPr>
        <xdr:cNvPr id="4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5925" y="2047875"/>
          <a:ext cx="1476375" cy="1457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DB_2.0_2020-10-2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tkecene.com/sites/RUKZ/RUEC/SIMPLYCITY%20Data%20Base%20SCDB/Rope%20calculation%20E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1.%20Work\_SCDB\Rope%20calculation%20ENG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umofs001\Exchange\Simplycity\Calculation%20and%20databases\SCDB_1.0_2018-07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 delivery date"/>
      <sheetName val="Fermator checklist"/>
      <sheetName val="guide rails"/>
      <sheetName val="EvoLite HU"/>
      <sheetName val="simplycity HU"/>
      <sheetName val="mrl loads"/>
      <sheetName val="compensation chain"/>
      <sheetName val="TM"/>
      <sheetName val="mrl WH actual weight"/>
      <sheetName val="mrl cars analysis"/>
      <sheetName val="CWT 200 filler calc"/>
      <sheetName val="CWT 150 filler calc"/>
      <sheetName val="mr TM"/>
      <sheetName val="mrl TLD"/>
    </sheetNames>
    <sheetDataSet>
      <sheetData sheetId="0"/>
      <sheetData sheetId="1">
        <row r="44">
          <cell r="G44">
            <v>700</v>
          </cell>
          <cell r="M44" t="str">
            <v>2-створчатые</v>
          </cell>
        </row>
        <row r="45">
          <cell r="G45">
            <v>800</v>
          </cell>
          <cell r="M45" t="str">
            <v>4-створчатые</v>
          </cell>
        </row>
        <row r="46">
          <cell r="G46">
            <v>900</v>
          </cell>
        </row>
        <row r="47">
          <cell r="G47">
            <v>1000</v>
          </cell>
        </row>
        <row r="48">
          <cell r="G48">
            <v>1100</v>
          </cell>
        </row>
        <row r="49">
          <cell r="G49">
            <v>1200</v>
          </cell>
        </row>
        <row r="50">
          <cell r="G50">
            <v>1300</v>
          </cell>
        </row>
        <row r="51">
          <cell r="G51">
            <v>1400</v>
          </cell>
        </row>
        <row r="53">
          <cell r="G53">
            <v>700</v>
          </cell>
        </row>
        <row r="54">
          <cell r="G54">
            <v>800</v>
          </cell>
        </row>
        <row r="55">
          <cell r="G55">
            <v>900</v>
          </cell>
        </row>
        <row r="56">
          <cell r="G56">
            <v>1200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zu1"/>
      <sheetName val="2zu1"/>
      <sheetName val="2zu1oA"/>
      <sheetName val="Seilkraft"/>
      <sheetName val="Benutzer"/>
    </sheetNames>
    <sheetDataSet>
      <sheetData sheetId="0"/>
      <sheetData sheetId="1">
        <row r="6">
          <cell r="AK6">
            <v>0</v>
          </cell>
        </row>
        <row r="7">
          <cell r="AK7">
            <v>0</v>
          </cell>
        </row>
        <row r="8">
          <cell r="AK8">
            <v>0</v>
          </cell>
        </row>
        <row r="9">
          <cell r="AK9">
            <v>0</v>
          </cell>
        </row>
        <row r="10">
          <cell r="AK10" t="e">
            <v>#DIV/0!</v>
          </cell>
        </row>
        <row r="11">
          <cell r="AK11" t="e">
            <v>#DIV/0!</v>
          </cell>
        </row>
        <row r="12">
          <cell r="AK12" t="e">
            <v>#DIV/0!</v>
          </cell>
        </row>
        <row r="13">
          <cell r="AK13" t="e">
            <v>#DIV/0!</v>
          </cell>
        </row>
        <row r="14">
          <cell r="AK14" t="e">
            <v>#DIV/0!</v>
          </cell>
        </row>
        <row r="15">
          <cell r="AK15" t="e">
            <v>#DIV/0!</v>
          </cell>
        </row>
        <row r="16">
          <cell r="AK16">
            <v>1</v>
          </cell>
        </row>
        <row r="17">
          <cell r="AK17" t="e">
            <v>#DIV/0!</v>
          </cell>
        </row>
        <row r="18">
          <cell r="AK18" t="e">
            <v>#DIV/0!</v>
          </cell>
        </row>
        <row r="19">
          <cell r="AK19">
            <v>3</v>
          </cell>
        </row>
        <row r="29">
          <cell r="AB29">
            <v>0</v>
          </cell>
        </row>
        <row r="31">
          <cell r="AB31">
            <v>2</v>
          </cell>
        </row>
        <row r="41">
          <cell r="AB41" t="str">
            <v>unvollständig</v>
          </cell>
        </row>
        <row r="50">
          <cell r="AB50" t="str">
            <v>unvollständig</v>
          </cell>
        </row>
      </sheetData>
      <sheetData sheetId="2">
        <row r="29">
          <cell r="AB29">
            <v>0</v>
          </cell>
        </row>
        <row r="31">
          <cell r="AB31">
            <v>2</v>
          </cell>
        </row>
        <row r="33">
          <cell r="AP33">
            <v>3</v>
          </cell>
        </row>
        <row r="41">
          <cell r="AB41" t="str">
            <v>unvollständig</v>
          </cell>
        </row>
        <row r="50">
          <cell r="AB50" t="str">
            <v>unvollständig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zu1"/>
      <sheetName val="2zu1"/>
      <sheetName val="2zu1oA"/>
      <sheetName val="Seilkraft"/>
      <sheetName val="Benutzer"/>
    </sheetNames>
    <sheetDataSet>
      <sheetData sheetId="0"/>
      <sheetData sheetId="1">
        <row r="6">
          <cell r="AK6">
            <v>0</v>
          </cell>
        </row>
        <row r="7">
          <cell r="AK7">
            <v>0</v>
          </cell>
        </row>
        <row r="8">
          <cell r="AK8">
            <v>0</v>
          </cell>
        </row>
        <row r="9">
          <cell r="AK9">
            <v>0</v>
          </cell>
        </row>
        <row r="10">
          <cell r="AK10" t="e">
            <v>#DIV/0!</v>
          </cell>
        </row>
        <row r="11">
          <cell r="AK11" t="e">
            <v>#DIV/0!</v>
          </cell>
        </row>
        <row r="12">
          <cell r="AK12" t="e">
            <v>#DIV/0!</v>
          </cell>
        </row>
        <row r="13">
          <cell r="AK13" t="e">
            <v>#DIV/0!</v>
          </cell>
        </row>
        <row r="14">
          <cell r="AK14" t="e">
            <v>#DIV/0!</v>
          </cell>
        </row>
        <row r="15">
          <cell r="AK15" t="e">
            <v>#DIV/0!</v>
          </cell>
        </row>
        <row r="16">
          <cell r="AK16">
            <v>1</v>
          </cell>
        </row>
        <row r="17">
          <cell r="AK17" t="e">
            <v>#DIV/0!</v>
          </cell>
        </row>
        <row r="18">
          <cell r="AK18" t="e">
            <v>#DIV/0!</v>
          </cell>
        </row>
        <row r="19">
          <cell r="AK19">
            <v>3</v>
          </cell>
        </row>
        <row r="29">
          <cell r="AB29">
            <v>0</v>
          </cell>
        </row>
        <row r="31">
          <cell r="AB31">
            <v>2</v>
          </cell>
        </row>
        <row r="41">
          <cell r="AB41" t="str">
            <v>unvollständig</v>
          </cell>
        </row>
        <row r="50">
          <cell r="AB50" t="str">
            <v>unvollständig</v>
          </cell>
        </row>
      </sheetData>
      <sheetData sheetId="2">
        <row r="29">
          <cell r="AB29">
            <v>0</v>
          </cell>
        </row>
        <row r="31">
          <cell r="AB31">
            <v>2</v>
          </cell>
        </row>
        <row r="33">
          <cell r="AP33">
            <v>3</v>
          </cell>
        </row>
        <row r="41">
          <cell r="AB41" t="str">
            <v>unvollständig</v>
          </cell>
        </row>
        <row r="50">
          <cell r="AB50" t="str">
            <v>unvollständig</v>
          </cell>
        </row>
      </sheetData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DB"/>
      <sheetName val="Elevator System"/>
      <sheetName val="Materials"/>
      <sheetName val="W x D"/>
      <sheetName val="OH and Pit"/>
      <sheetName val="Combination OH and pit calc"/>
      <sheetName val="Guide Rail"/>
      <sheetName val="GR characteristics"/>
      <sheetName val="Brackets"/>
      <sheetName val="Brackets Diagram"/>
      <sheetName val="TM"/>
      <sheetName val="TMs Frames"/>
      <sheetName val="Doors"/>
      <sheetName val="Doors full list"/>
      <sheetName val="ShaftDoor Fixation"/>
      <sheetName val="Car Portfolio"/>
      <sheetName val="MOTEGO modular system"/>
      <sheetName val="Car (M) weight calculation"/>
      <sheetName val="Cars"/>
      <sheetName val="Add. car and Other"/>
      <sheetName val="GS and Oilers"/>
      <sheetName val="PSG"/>
      <sheetName val="PSG auto calc"/>
      <sheetName val="Ropes"/>
      <sheetName val="Ropes calc 1to1"/>
      <sheetName val="CWT Frames"/>
      <sheetName val="CWT Fillers"/>
      <sheetName val="CWT Fillers auto calc"/>
      <sheetName val="Buffers"/>
      <sheetName val="Comp.chain"/>
      <sheetName val="Controller"/>
      <sheetName val="Communication system"/>
      <sheetName val="OSG"/>
      <sheetName val="Tension calculation"/>
      <sheetName val="Fixations"/>
      <sheetName val="SK NSK washers"/>
      <sheetName val="Certification"/>
      <sheetName val="TLDs"/>
      <sheetName val="MasterGADs"/>
      <sheetName val="Non-standard projects"/>
      <sheetName val="EMDB"/>
      <sheetName val="EMDB_Archive"/>
      <sheetName val="1S_Assemblies"/>
      <sheetName val="Components_Search"/>
      <sheetName val="Components"/>
      <sheetName val="HU"/>
      <sheetName val="GWP"/>
      <sheetName val="Log of chang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>
        <row r="7">
          <cell r="B7">
            <v>1</v>
          </cell>
          <cell r="C7">
            <v>0</v>
          </cell>
          <cell r="D7" t="str">
            <v>Guide rail</v>
          </cell>
          <cell r="E7" t="str">
            <v>ОСП0007753</v>
          </cell>
          <cell r="F7">
            <v>80451508042</v>
          </cell>
          <cell r="G7"/>
          <cell r="H7" t="str">
            <v>Направляющая лифта RP 125  длина 2,5 м</v>
          </cell>
          <cell r="I7" t="str">
            <v>Guide rail RP 125, 2,5 m</v>
          </cell>
          <cell r="J7" t="str">
            <v>шт</v>
          </cell>
          <cell r="K7">
            <v>5</v>
          </cell>
          <cell r="L7"/>
          <cell r="M7" t="str">
            <v>Order</v>
          </cell>
          <cell r="N7" t="str">
            <v>Italy</v>
          </cell>
          <cell r="O7" t="str">
            <v>Monteferro</v>
          </cell>
          <cell r="P7"/>
          <cell r="Q7"/>
          <cell r="R7"/>
        </row>
        <row r="8">
          <cell r="B8">
            <v>2</v>
          </cell>
          <cell r="C8">
            <v>0</v>
          </cell>
          <cell r="D8" t="str">
            <v>Guide rail</v>
          </cell>
          <cell r="E8" t="str">
            <v>ОСП0007752</v>
          </cell>
          <cell r="F8">
            <v>80451508041</v>
          </cell>
          <cell r="G8"/>
          <cell r="H8" t="str">
            <v>Направляющая лифта RP 125  длина 4,4 м</v>
          </cell>
          <cell r="I8" t="str">
            <v>Guide rail RP 125, 4,4 m</v>
          </cell>
          <cell r="J8" t="str">
            <v>шт</v>
          </cell>
          <cell r="K8">
            <v>5</v>
          </cell>
          <cell r="L8"/>
          <cell r="M8" t="str">
            <v>Order</v>
          </cell>
          <cell r="N8" t="str">
            <v>Italy</v>
          </cell>
          <cell r="O8" t="str">
            <v>Monteferro</v>
          </cell>
          <cell r="P8"/>
          <cell r="Q8"/>
          <cell r="R8"/>
        </row>
        <row r="9">
          <cell r="B9">
            <v>3</v>
          </cell>
          <cell r="C9">
            <v>0</v>
          </cell>
          <cell r="D9" t="str">
            <v>Guide rail</v>
          </cell>
          <cell r="E9" t="str">
            <v>ОСП0007751</v>
          </cell>
          <cell r="F9">
            <v>80451508040</v>
          </cell>
          <cell r="G9"/>
          <cell r="H9" t="str">
            <v>Направляющая лифта RP 125  длина 5 м</v>
          </cell>
          <cell r="I9" t="str">
            <v>Guide rail RP 125, 5 m</v>
          </cell>
          <cell r="J9" t="str">
            <v>шт</v>
          </cell>
          <cell r="K9">
            <v>5</v>
          </cell>
          <cell r="L9"/>
          <cell r="M9" t="str">
            <v>Order</v>
          </cell>
          <cell r="N9" t="str">
            <v>Italy</v>
          </cell>
          <cell r="O9" t="str">
            <v>Monteferro</v>
          </cell>
          <cell r="P9"/>
          <cell r="Q9"/>
          <cell r="R9"/>
        </row>
        <row r="10">
          <cell r="B10">
            <v>4</v>
          </cell>
          <cell r="C10">
            <v>0</v>
          </cell>
          <cell r="D10" t="str">
            <v>Guide rail</v>
          </cell>
          <cell r="E10" t="str">
            <v>ОСП0007901</v>
          </cell>
          <cell r="F10">
            <v>80451508033</v>
          </cell>
          <cell r="G10"/>
          <cell r="H10" t="str">
            <v>Направляющая лифта RT50A длина 3,35 м</v>
          </cell>
          <cell r="I10" t="str">
            <v>T50A Monteferro 3.5m</v>
          </cell>
          <cell r="J10" t="str">
            <v>шт</v>
          </cell>
          <cell r="K10">
            <v>5</v>
          </cell>
          <cell r="L10"/>
          <cell r="M10" t="str">
            <v>Order</v>
          </cell>
          <cell r="N10" t="str">
            <v>Italy</v>
          </cell>
          <cell r="O10" t="str">
            <v>Monteferro</v>
          </cell>
          <cell r="P10"/>
          <cell r="Q10"/>
          <cell r="R10"/>
        </row>
        <row r="11">
          <cell r="B11">
            <v>5</v>
          </cell>
          <cell r="C11">
            <v>0</v>
          </cell>
          <cell r="D11" t="str">
            <v>Guide rail</v>
          </cell>
          <cell r="E11" t="str">
            <v>ОСП0006943</v>
          </cell>
          <cell r="F11">
            <v>80451508030</v>
          </cell>
          <cell r="G11"/>
          <cell r="H11" t="str">
            <v>Направляющая лифта RT50A длина 5,0 м</v>
          </cell>
          <cell r="I11" t="str">
            <v>T50A Monteferro 5m</v>
          </cell>
          <cell r="J11" t="str">
            <v>шт</v>
          </cell>
          <cell r="K11">
            <v>5</v>
          </cell>
          <cell r="L11"/>
          <cell r="M11" t="str">
            <v>Order</v>
          </cell>
          <cell r="N11" t="str">
            <v>Italy</v>
          </cell>
          <cell r="O11" t="str">
            <v>Monteferro</v>
          </cell>
          <cell r="P11"/>
          <cell r="Q11"/>
          <cell r="R11"/>
        </row>
        <row r="12">
          <cell r="B12">
            <v>6</v>
          </cell>
          <cell r="C12">
            <v>0</v>
          </cell>
          <cell r="D12" t="str">
            <v>Guide rail</v>
          </cell>
          <cell r="E12" t="str">
            <v>ОСП0006944</v>
          </cell>
          <cell r="F12">
            <v>80451508031</v>
          </cell>
          <cell r="G12"/>
          <cell r="H12" t="str">
            <v>Направляющая лифта T50A длина 2,5 м</v>
          </cell>
          <cell r="I12" t="str">
            <v>T50A Monteferro 2,5m</v>
          </cell>
          <cell r="J12" t="str">
            <v>шт</v>
          </cell>
          <cell r="K12">
            <v>5</v>
          </cell>
          <cell r="L12"/>
          <cell r="M12" t="str">
            <v>Order</v>
          </cell>
          <cell r="N12" t="str">
            <v>Italy</v>
          </cell>
          <cell r="O12" t="str">
            <v>Monteferro</v>
          </cell>
          <cell r="P12"/>
          <cell r="Q12"/>
          <cell r="R12"/>
        </row>
        <row r="13">
          <cell r="B13">
            <v>7</v>
          </cell>
          <cell r="C13">
            <v>0</v>
          </cell>
          <cell r="D13" t="str">
            <v>Guide rail</v>
          </cell>
          <cell r="E13" t="str">
            <v>ОСП0007750</v>
          </cell>
          <cell r="F13">
            <v>80451508032</v>
          </cell>
          <cell r="G13"/>
          <cell r="H13" t="str">
            <v>Направляющая лифта T50B длина 4,2 м</v>
          </cell>
          <cell r="I13" t="str">
            <v>Guide rail T50B, 4,2 m</v>
          </cell>
          <cell r="J13" t="str">
            <v>шт</v>
          </cell>
          <cell r="K13">
            <v>5</v>
          </cell>
          <cell r="L13"/>
          <cell r="M13" t="str">
            <v>Order</v>
          </cell>
          <cell r="N13" t="str">
            <v>Italy</v>
          </cell>
          <cell r="O13" t="str">
            <v>Monteferro</v>
          </cell>
          <cell r="P13"/>
          <cell r="Q13"/>
          <cell r="R13"/>
        </row>
        <row r="14">
          <cell r="B14">
            <v>8</v>
          </cell>
          <cell r="C14">
            <v>0</v>
          </cell>
          <cell r="D14" t="str">
            <v>Guide rail</v>
          </cell>
          <cell r="E14" t="str">
            <v>ОСП0006940</v>
          </cell>
          <cell r="F14">
            <v>80451508011</v>
          </cell>
          <cell r="G14"/>
          <cell r="H14" t="str">
            <v>Направляющая лифта T70B длина 2,5 м</v>
          </cell>
          <cell r="I14" t="str">
            <v>T70B Monteferro 2,5m</v>
          </cell>
          <cell r="J14" t="str">
            <v>шт</v>
          </cell>
          <cell r="K14">
            <v>5</v>
          </cell>
          <cell r="L14"/>
          <cell r="M14" t="str">
            <v>Order</v>
          </cell>
          <cell r="N14" t="str">
            <v>Italy</v>
          </cell>
          <cell r="O14" t="str">
            <v>Monteferro</v>
          </cell>
          <cell r="P14"/>
          <cell r="Q14"/>
          <cell r="R14"/>
        </row>
        <row r="15">
          <cell r="B15">
            <v>9</v>
          </cell>
          <cell r="C15">
            <v>0</v>
          </cell>
          <cell r="D15" t="str">
            <v>Guide rail</v>
          </cell>
          <cell r="E15" t="str">
            <v>ОСП0006939</v>
          </cell>
          <cell r="F15">
            <v>80451508010</v>
          </cell>
          <cell r="G15"/>
          <cell r="H15" t="str">
            <v>Направляющая лифта T70B длина 5,0 м</v>
          </cell>
          <cell r="I15" t="str">
            <v>T70B Monteferro 5m</v>
          </cell>
          <cell r="J15" t="str">
            <v>шт</v>
          </cell>
          <cell r="K15">
            <v>5</v>
          </cell>
          <cell r="L15"/>
          <cell r="M15" t="str">
            <v>Order</v>
          </cell>
          <cell r="N15" t="str">
            <v>Italy</v>
          </cell>
          <cell r="O15" t="str">
            <v>Monteferro</v>
          </cell>
          <cell r="P15"/>
          <cell r="Q15"/>
          <cell r="R15"/>
        </row>
        <row r="16">
          <cell r="B16">
            <v>10</v>
          </cell>
          <cell r="C16">
            <v>0</v>
          </cell>
          <cell r="D16" t="str">
            <v>Guide rail</v>
          </cell>
          <cell r="E16" t="str">
            <v>ОСП0009269</v>
          </cell>
          <cell r="F16">
            <v>46451508024</v>
          </cell>
          <cell r="G16"/>
          <cell r="H16" t="str">
            <v>Направляющая лифта T90/А, 2,5 м</v>
          </cell>
          <cell r="I16" t="str">
            <v>Guide rail, Omutninsk, T90/А, 2,5 m</v>
          </cell>
          <cell r="J16" t="str">
            <v>шт</v>
          </cell>
          <cell r="K16">
            <v>5</v>
          </cell>
          <cell r="L16"/>
          <cell r="M16" t="str">
            <v>Order</v>
          </cell>
          <cell r="N16" t="str">
            <v>Russia</v>
          </cell>
          <cell r="O16" t="str">
            <v>ОМЗ</v>
          </cell>
          <cell r="P16"/>
          <cell r="Q16"/>
          <cell r="R16"/>
        </row>
        <row r="17">
          <cell r="B17">
            <v>11</v>
          </cell>
          <cell r="C17">
            <v>0</v>
          </cell>
          <cell r="D17" t="str">
            <v>Guide rail</v>
          </cell>
          <cell r="E17" t="str">
            <v>ОСП0009268</v>
          </cell>
          <cell r="F17">
            <v>46451508023</v>
          </cell>
          <cell r="G17"/>
          <cell r="H17" t="str">
            <v>Направляющая лифта T90/А, 5,0 м</v>
          </cell>
          <cell r="I17" t="str">
            <v>Guide rail, Omutninsk, T90/А, 5,0 m</v>
          </cell>
          <cell r="J17" t="str">
            <v>шт</v>
          </cell>
          <cell r="K17">
            <v>5</v>
          </cell>
          <cell r="L17"/>
          <cell r="M17" t="str">
            <v>Order</v>
          </cell>
          <cell r="N17" t="str">
            <v>Russia</v>
          </cell>
          <cell r="O17" t="str">
            <v>ОМЗ</v>
          </cell>
          <cell r="P17"/>
          <cell r="Q17"/>
          <cell r="R17"/>
        </row>
        <row r="18">
          <cell r="B18">
            <v>12</v>
          </cell>
          <cell r="C18">
            <v>0</v>
          </cell>
          <cell r="D18" t="str">
            <v>Guide rail</v>
          </cell>
          <cell r="E18" t="str">
            <v>ОСП0008375</v>
          </cell>
          <cell r="F18">
            <v>80451508023</v>
          </cell>
          <cell r="G18"/>
          <cell r="H18" t="str">
            <v>Направляющая лифта T90A длина 5,0 м</v>
          </cell>
          <cell r="I18" t="str">
            <v>T90A Monteferro 5m  incl. Fish plate, bolts, nuts, washers</v>
          </cell>
          <cell r="J18" t="str">
            <v>шт</v>
          </cell>
          <cell r="K18">
            <v>5</v>
          </cell>
          <cell r="L18"/>
          <cell r="M18" t="str">
            <v>Order</v>
          </cell>
          <cell r="N18" t="str">
            <v>Italy</v>
          </cell>
          <cell r="O18" t="str">
            <v>Monteferro</v>
          </cell>
          <cell r="P18"/>
          <cell r="Q18"/>
          <cell r="R18"/>
        </row>
        <row r="19">
          <cell r="B19">
            <v>13</v>
          </cell>
          <cell r="C19">
            <v>0</v>
          </cell>
          <cell r="D19" t="str">
            <v>Guide rail</v>
          </cell>
          <cell r="E19" t="str">
            <v>ОСП0006942</v>
          </cell>
          <cell r="F19">
            <v>80451508021</v>
          </cell>
          <cell r="G19"/>
          <cell r="H19" t="str">
            <v>Направляющая лифта T90B длина 2,5 м</v>
          </cell>
          <cell r="I19" t="str">
            <v>T90B Monteferro 2,5m</v>
          </cell>
          <cell r="J19" t="str">
            <v>шт</v>
          </cell>
          <cell r="K19">
            <v>5</v>
          </cell>
          <cell r="L19"/>
          <cell r="M19" t="str">
            <v>Order</v>
          </cell>
          <cell r="N19" t="str">
            <v>Italy</v>
          </cell>
          <cell r="O19" t="str">
            <v>Monteferro</v>
          </cell>
          <cell r="P19"/>
          <cell r="Q19"/>
          <cell r="R19"/>
        </row>
        <row r="20">
          <cell r="B20">
            <v>14</v>
          </cell>
          <cell r="C20">
            <v>0</v>
          </cell>
          <cell r="D20" t="str">
            <v>Guide rail</v>
          </cell>
          <cell r="E20" t="str">
            <v>ОСП0007902</v>
          </cell>
          <cell r="F20">
            <v>80451508022</v>
          </cell>
          <cell r="G20"/>
          <cell r="H20" t="str">
            <v>Направляющая лифта T90B длина 3,35 м</v>
          </cell>
          <cell r="I20" t="str">
            <v>T90B Monteferro 3,5m</v>
          </cell>
          <cell r="J20" t="str">
            <v>шт</v>
          </cell>
          <cell r="K20">
            <v>5</v>
          </cell>
          <cell r="L20"/>
          <cell r="M20" t="str">
            <v>Order</v>
          </cell>
          <cell r="N20" t="str">
            <v>Italy</v>
          </cell>
          <cell r="O20" t="str">
            <v>Monteferro</v>
          </cell>
          <cell r="P20"/>
          <cell r="Q20"/>
          <cell r="R20"/>
        </row>
        <row r="21">
          <cell r="B21">
            <v>15</v>
          </cell>
          <cell r="C21">
            <v>0</v>
          </cell>
          <cell r="D21" t="str">
            <v>Guide rail</v>
          </cell>
          <cell r="E21" t="str">
            <v>ОСП0006941</v>
          </cell>
          <cell r="F21">
            <v>80451508020</v>
          </cell>
          <cell r="G21"/>
          <cell r="H21" t="str">
            <v>Направляющая лифта T90B длина 5,0 м</v>
          </cell>
          <cell r="I21" t="str">
            <v>T90B Monteferro 5m</v>
          </cell>
          <cell r="J21" t="str">
            <v>шт</v>
          </cell>
          <cell r="K21">
            <v>5</v>
          </cell>
          <cell r="L21"/>
          <cell r="M21" t="str">
            <v>Order</v>
          </cell>
          <cell r="N21" t="str">
            <v>Italy</v>
          </cell>
          <cell r="O21" t="str">
            <v>Monteferro</v>
          </cell>
          <cell r="P21"/>
          <cell r="Q21"/>
          <cell r="R21"/>
        </row>
        <row r="22">
          <cell r="B22">
            <v>16</v>
          </cell>
          <cell r="C22">
            <v>0</v>
          </cell>
          <cell r="D22" t="str">
            <v>Bracket</v>
          </cell>
          <cell r="E22" t="str">
            <v>ОСП0009191</v>
          </cell>
          <cell r="F22">
            <v>46456606031</v>
          </cell>
          <cell r="G22"/>
          <cell r="H22" t="str">
            <v>AY New Кронштейн направляющей для противовеса Т70 135 ~ 200 mm</v>
          </cell>
          <cell r="I22" t="str">
            <v>AY GR Bracket car T70 135 ~ 200 mm incl. Clips, washer</v>
          </cell>
          <cell r="J22" t="str">
            <v>компл</v>
          </cell>
          <cell r="K22">
            <v>3</v>
          </cell>
          <cell r="L22"/>
          <cell r="M22" t="str">
            <v>Order</v>
          </cell>
          <cell r="N22" t="str">
            <v>Russia</v>
          </cell>
          <cell r="O22"/>
          <cell r="P22"/>
          <cell r="Q22"/>
          <cell r="R22"/>
        </row>
        <row r="23">
          <cell r="B23">
            <v>17</v>
          </cell>
          <cell r="C23">
            <v>0</v>
          </cell>
          <cell r="D23" t="str">
            <v>Bracket</v>
          </cell>
          <cell r="E23" t="str">
            <v>ОСП0007877</v>
          </cell>
          <cell r="F23">
            <v>46456606017</v>
          </cell>
          <cell r="G23" t="str">
            <v>6011S001100</v>
          </cell>
          <cell r="H23" t="str">
            <v>AY Кронштейн направляющей кабины Т70/T90</v>
          </cell>
          <cell r="I23" t="str">
            <v>AY Special car rail bracket T 70 / T 90 with setting gange 75</v>
          </cell>
          <cell r="J23" t="str">
            <v>шт</v>
          </cell>
          <cell r="K23"/>
          <cell r="L23"/>
          <cell r="M23" t="str">
            <v>Order</v>
          </cell>
          <cell r="N23" t="str">
            <v>Russia</v>
          </cell>
          <cell r="O23"/>
          <cell r="P23"/>
          <cell r="Q23"/>
          <cell r="R23"/>
        </row>
        <row r="24">
          <cell r="B24">
            <v>18</v>
          </cell>
          <cell r="C24">
            <v>0</v>
          </cell>
          <cell r="D24" t="str">
            <v>Bracket</v>
          </cell>
          <cell r="E24" t="str">
            <v>ОСП0008115</v>
          </cell>
          <cell r="F24">
            <v>46456606018</v>
          </cell>
          <cell r="G24" t="str">
            <v>6011S004000</v>
          </cell>
          <cell r="H24" t="str">
            <v>AY Кронштейн регулируемый  car-T90 / CW-T50</v>
          </cell>
          <cell r="I24" t="str">
            <v>AY GR Bracket car-T90 / CW-T50  incl. Clips, washer</v>
          </cell>
          <cell r="J24" t="str">
            <v>компл</v>
          </cell>
          <cell r="K24"/>
          <cell r="L24"/>
          <cell r="M24" t="str">
            <v>Order</v>
          </cell>
          <cell r="N24" t="str">
            <v>Russia</v>
          </cell>
          <cell r="O24"/>
          <cell r="P24"/>
          <cell r="Q24"/>
          <cell r="R24"/>
        </row>
        <row r="25">
          <cell r="B25">
            <v>19</v>
          </cell>
          <cell r="C25">
            <v>0</v>
          </cell>
          <cell r="D25" t="str">
            <v>Bracket</v>
          </cell>
          <cell r="E25" t="str">
            <v>ОСП0007872</v>
          </cell>
          <cell r="F25">
            <v>46456606016</v>
          </cell>
          <cell r="G25" t="str">
            <v>6011S004000-1,6</v>
          </cell>
          <cell r="H25" t="str">
            <v>AY Кронштейн регулируемый  V1,6</v>
          </cell>
          <cell r="I25" t="str">
            <v>AY GR Bracket  Adjustable  V1,6</v>
          </cell>
          <cell r="J25" t="str">
            <v>компл</v>
          </cell>
          <cell r="K25"/>
          <cell r="L25"/>
          <cell r="M25" t="str">
            <v>Order</v>
          </cell>
          <cell r="N25" t="str">
            <v>Russia</v>
          </cell>
          <cell r="O25"/>
          <cell r="P25"/>
          <cell r="Q25"/>
          <cell r="R25"/>
        </row>
        <row r="26">
          <cell r="B26">
            <v>20</v>
          </cell>
          <cell r="C26">
            <v>0</v>
          </cell>
          <cell r="D26" t="str">
            <v>Bracket</v>
          </cell>
          <cell r="E26" t="str">
            <v>ОСП0006922</v>
          </cell>
          <cell r="F26">
            <v>46456606001</v>
          </cell>
          <cell r="G26"/>
          <cell r="H26" t="str">
            <v>Кронштейн крепления направляющих AY 1 - 450 #1</v>
          </cell>
          <cell r="I26" t="str">
            <v>GR bracket: AY 1 - 450 #1</v>
          </cell>
          <cell r="J26" t="str">
            <v>шт</v>
          </cell>
          <cell r="K26"/>
          <cell r="L26"/>
          <cell r="M26" t="str">
            <v>Order</v>
          </cell>
          <cell r="N26" t="str">
            <v>Russia</v>
          </cell>
          <cell r="O26"/>
          <cell r="P26"/>
          <cell r="Q26"/>
          <cell r="R26"/>
        </row>
        <row r="27">
          <cell r="B27">
            <v>21</v>
          </cell>
          <cell r="C27">
            <v>0</v>
          </cell>
          <cell r="D27" t="str">
            <v>Bracket</v>
          </cell>
          <cell r="E27" t="str">
            <v>ОСП0006923</v>
          </cell>
          <cell r="F27">
            <v>46456606002</v>
          </cell>
          <cell r="G27"/>
          <cell r="H27" t="str">
            <v>Кронштейн крепления направляющих AY 2 - 450 #2 ( c -type )</v>
          </cell>
          <cell r="I27" t="str">
            <v>GR bracket: AY 2 - 450 #2 ( c -type )</v>
          </cell>
          <cell r="J27" t="str">
            <v>шт</v>
          </cell>
          <cell r="K27"/>
          <cell r="L27"/>
          <cell r="M27" t="str">
            <v>Order</v>
          </cell>
          <cell r="N27" t="str">
            <v>Russia</v>
          </cell>
          <cell r="O27"/>
          <cell r="P27"/>
          <cell r="Q27"/>
          <cell r="R27"/>
        </row>
        <row r="28">
          <cell r="B28">
            <v>22</v>
          </cell>
          <cell r="C28">
            <v>0</v>
          </cell>
          <cell r="D28" t="str">
            <v>Bracket</v>
          </cell>
          <cell r="E28" t="str">
            <v>ОСП0006924</v>
          </cell>
          <cell r="F28">
            <v>46456606003</v>
          </cell>
          <cell r="G28"/>
          <cell r="H28" t="str">
            <v>Кронштейн крепления направляющих AY 3 - 1000</v>
          </cell>
          <cell r="I28" t="str">
            <v>GR bracket: AY 3 - 1000</v>
          </cell>
          <cell r="J28" t="str">
            <v>шт</v>
          </cell>
          <cell r="K28"/>
          <cell r="L28"/>
          <cell r="M28" t="str">
            <v>Order</v>
          </cell>
          <cell r="N28" t="str">
            <v>Russia</v>
          </cell>
          <cell r="O28"/>
          <cell r="P28"/>
          <cell r="Q28"/>
          <cell r="R28"/>
        </row>
        <row r="29">
          <cell r="B29">
            <v>23</v>
          </cell>
          <cell r="C29">
            <v>0</v>
          </cell>
          <cell r="D29" t="str">
            <v>Traction machine</v>
          </cell>
          <cell r="E29" t="str">
            <v>ОСП0007840</v>
          </cell>
          <cell r="F29">
            <v>40451504032</v>
          </cell>
          <cell r="G29" t="str">
            <v>62330006923</v>
          </cell>
          <cell r="H29" t="str">
            <v>AY Лебедка редукторная Mashine TM TW130 TSD900</v>
          </cell>
          <cell r="I29" t="str">
            <v>AY TM TW130 vert.L 35:1 TS900-6xd11-SG100°-12,4kW-4x4096TTL-1,6 (copy of 4030)</v>
          </cell>
          <cell r="J29" t="str">
            <v>шт</v>
          </cell>
          <cell r="K29">
            <v>1</v>
          </cell>
          <cell r="L29"/>
          <cell r="M29" t="str">
            <v>Order</v>
          </cell>
          <cell r="N29" t="str">
            <v>Germany</v>
          </cell>
          <cell r="O29"/>
          <cell r="P29"/>
          <cell r="Q29"/>
          <cell r="R29"/>
        </row>
        <row r="30">
          <cell r="B30">
            <v>24</v>
          </cell>
          <cell r="C30">
            <v>0</v>
          </cell>
          <cell r="D30" t="str">
            <v>Traction machine</v>
          </cell>
          <cell r="E30" t="str">
            <v>ОСП0008689</v>
          </cell>
          <cell r="F30">
            <v>40451504033</v>
          </cell>
          <cell r="G30"/>
          <cell r="H30" t="str">
            <v>AY Лебедка редукторная TW130</v>
          </cell>
          <cell r="I30" t="str">
            <v>AY TM TW130 vert.L 35:1 TSD720-6xd11-VG45° 12,4kW-4x4096TTL-1,6</v>
          </cell>
          <cell r="J30" t="str">
            <v>шт</v>
          </cell>
          <cell r="K30">
            <v>1</v>
          </cell>
          <cell r="L30"/>
          <cell r="M30" t="str">
            <v>Order</v>
          </cell>
          <cell r="N30" t="str">
            <v>Germany</v>
          </cell>
          <cell r="O30"/>
          <cell r="P30"/>
          <cell r="Q30"/>
          <cell r="R30"/>
        </row>
        <row r="31">
          <cell r="B31">
            <v>25</v>
          </cell>
          <cell r="C31">
            <v>0</v>
          </cell>
          <cell r="D31" t="str">
            <v>Traction machine</v>
          </cell>
          <cell r="E31" t="str">
            <v>ОСП0008775</v>
          </cell>
          <cell r="F31">
            <v>40451504012</v>
          </cell>
          <cell r="G31"/>
          <cell r="H31" t="str">
            <v>AY Лебедка редукторная TW45</v>
          </cell>
          <cell r="I31" t="str">
            <v>AY TM TW45 vert.L 41:2 TSD520-6xd8-V45° 7kW-4x4096TTL-1,6</v>
          </cell>
          <cell r="J31" t="str">
            <v>шт</v>
          </cell>
          <cell r="K31">
            <v>1</v>
          </cell>
          <cell r="L31"/>
          <cell r="M31" t="str">
            <v>Order</v>
          </cell>
          <cell r="N31" t="str">
            <v>Germany</v>
          </cell>
          <cell r="O31"/>
          <cell r="P31"/>
          <cell r="Q31"/>
          <cell r="R31"/>
        </row>
        <row r="32">
          <cell r="B32">
            <v>26</v>
          </cell>
          <cell r="C32">
            <v>0</v>
          </cell>
          <cell r="D32" t="str">
            <v>Traction machine</v>
          </cell>
          <cell r="E32" t="str">
            <v>ОСП0009249</v>
          </cell>
          <cell r="F32">
            <v>40451504014</v>
          </cell>
          <cell r="G32" t="str">
            <v>62310003843E</v>
          </cell>
          <cell r="H32" t="str">
            <v>AY Лебедка редукторная TW45</v>
          </cell>
          <cell r="I32" t="str">
            <v>AY TM TW45 vert.L 32:1 TSD440-6xd8-V40° 5.5kW-4x4096TTL-1,0</v>
          </cell>
          <cell r="J32" t="str">
            <v>шт</v>
          </cell>
          <cell r="K32">
            <v>1</v>
          </cell>
          <cell r="L32"/>
          <cell r="M32" t="str">
            <v>Order</v>
          </cell>
          <cell r="N32" t="str">
            <v>Germany</v>
          </cell>
          <cell r="O32"/>
          <cell r="P32" t="str">
            <v>8 weeks</v>
          </cell>
          <cell r="Q32"/>
          <cell r="R32"/>
        </row>
        <row r="33">
          <cell r="B33">
            <v>27</v>
          </cell>
          <cell r="C33">
            <v>0</v>
          </cell>
          <cell r="D33" t="str">
            <v>Traction machine</v>
          </cell>
          <cell r="E33" t="str">
            <v>ОСП0005610</v>
          </cell>
          <cell r="F33">
            <v>40451504020</v>
          </cell>
          <cell r="G33" t="str">
            <v>6232001010F</v>
          </cell>
          <cell r="H33" t="str">
            <v>AY Лебедка редукторная TW63</v>
          </cell>
          <cell r="I33" t="str">
            <v>AY TM TW63 hor.R 33:1 TSD510-7xd11-V41° 11kW-4x4096TTL-1,0</v>
          </cell>
          <cell r="J33" t="str">
            <v>шт</v>
          </cell>
          <cell r="K33">
            <v>1</v>
          </cell>
          <cell r="L33"/>
          <cell r="M33" t="str">
            <v>Order</v>
          </cell>
          <cell r="N33" t="str">
            <v>Germany</v>
          </cell>
          <cell r="O33"/>
          <cell r="P33" t="str">
            <v>8 weeks</v>
          </cell>
          <cell r="Q33"/>
          <cell r="R33"/>
        </row>
        <row r="34">
          <cell r="B34">
            <v>28</v>
          </cell>
          <cell r="C34">
            <v>0</v>
          </cell>
          <cell r="D34" t="str">
            <v>Traction machine</v>
          </cell>
          <cell r="E34" t="str">
            <v>ОСП0008856</v>
          </cell>
          <cell r="F34">
            <v>40451504021</v>
          </cell>
          <cell r="G34"/>
          <cell r="H34" t="str">
            <v>AY Лебедка редукторная TW63 vert.L 33:1 TSD510-7xd11-V41° 11kW-4x4096TTL-1,0</v>
          </cell>
          <cell r="I34" t="str">
            <v>AY TM geared TW63 vert.L 33:1 TSD510-7xd11-V41° 11kW-4x4096TTL-1,0</v>
          </cell>
          <cell r="J34" t="str">
            <v>шт</v>
          </cell>
          <cell r="K34">
            <v>1</v>
          </cell>
          <cell r="L34"/>
          <cell r="M34" t="str">
            <v>Order</v>
          </cell>
          <cell r="N34" t="str">
            <v>Germany</v>
          </cell>
          <cell r="O34"/>
          <cell r="P34"/>
          <cell r="Q34"/>
          <cell r="R34"/>
        </row>
        <row r="35">
          <cell r="B35">
            <v>29</v>
          </cell>
          <cell r="C35">
            <v>0</v>
          </cell>
          <cell r="D35" t="str">
            <v>Traction machine</v>
          </cell>
          <cell r="E35" t="str">
            <v>ОСП0009182</v>
          </cell>
          <cell r="F35">
            <v>46450606010</v>
          </cell>
          <cell r="G35" t="str">
            <v>62310003858</v>
          </cell>
          <cell r="H35" t="str">
            <v>AY Рама лебедки TW45 вертикальной</v>
          </cell>
          <cell r="I35" t="str">
            <v>AY Machine frame TW45 incl. AY rubber block + plywood</v>
          </cell>
          <cell r="J35" t="str">
            <v>компл</v>
          </cell>
          <cell r="K35"/>
          <cell r="L35"/>
          <cell r="M35" t="str">
            <v>Order</v>
          </cell>
          <cell r="N35" t="str">
            <v>Russia</v>
          </cell>
          <cell r="O35"/>
          <cell r="P35"/>
          <cell r="Q35"/>
          <cell r="R35"/>
        </row>
        <row r="36">
          <cell r="B36">
            <v>30</v>
          </cell>
          <cell r="C36">
            <v>0</v>
          </cell>
          <cell r="D36" t="str">
            <v>Traction machine</v>
          </cell>
          <cell r="E36" t="str">
            <v>ОСП0004152</v>
          </cell>
          <cell r="F36">
            <v>46456603001</v>
          </cell>
          <cell r="G36" t="str">
            <v>6030901140</v>
          </cell>
          <cell r="H36" t="str">
            <v>Амортизатор рамы лебедки 100x100x50</v>
          </cell>
          <cell r="I36" t="str">
            <v>Rubber block 100x100x50 45 +/- 5 Shore</v>
          </cell>
          <cell r="J36" t="str">
            <v>шт</v>
          </cell>
          <cell r="K36"/>
          <cell r="L36"/>
          <cell r="M36" t="str">
            <v>Stock</v>
          </cell>
          <cell r="N36" t="str">
            <v>Russia</v>
          </cell>
          <cell r="O36"/>
          <cell r="P36"/>
          <cell r="Q36"/>
          <cell r="R36"/>
        </row>
        <row r="37">
          <cell r="B37">
            <v>31</v>
          </cell>
          <cell r="C37">
            <v>0</v>
          </cell>
          <cell r="D37" t="str">
            <v>Traction machine</v>
          </cell>
          <cell r="E37" t="str">
            <v>ОСП0006938</v>
          </cell>
          <cell r="F37">
            <v>46456603002</v>
          </cell>
          <cell r="G37" t="str">
            <v>60300003507</v>
          </cell>
          <cell r="H37" t="str">
            <v>Амортизатор рамы лебедки 80x80x50</v>
          </cell>
          <cell r="I37" t="str">
            <v>Rubber block 80x80x50 45 +/- 5 Shore</v>
          </cell>
          <cell r="J37" t="str">
            <v>шт</v>
          </cell>
          <cell r="K37"/>
          <cell r="L37"/>
          <cell r="M37" t="str">
            <v>Stock</v>
          </cell>
          <cell r="N37" t="str">
            <v>Russia</v>
          </cell>
          <cell r="O37"/>
          <cell r="P37"/>
          <cell r="Q37"/>
          <cell r="R37"/>
        </row>
        <row r="38">
          <cell r="B38">
            <v>32</v>
          </cell>
          <cell r="C38">
            <v>0</v>
          </cell>
          <cell r="D38" t="str">
            <v>Rope</v>
          </cell>
          <cell r="E38" t="str">
            <v>ОСП0008412</v>
          </cell>
          <cell r="F38">
            <v>40451514400</v>
          </cell>
          <cell r="G38"/>
          <cell r="H38" t="str">
            <v>AY Канат D8,0mm F1(=F3) 8x19S-IWRC 1570 sZ 38,0 kN</v>
          </cell>
          <cell r="I38" t="str">
            <v>AY Rope Wolf PAWO D8,0mm F1(=F3) 8x19S-IWRC 1570 sZ 38,0 kN</v>
          </cell>
          <cell r="J38" t="str">
            <v>компл</v>
          </cell>
          <cell r="K38"/>
          <cell r="L38"/>
          <cell r="M38" t="str">
            <v>Order</v>
          </cell>
          <cell r="N38" t="str">
            <v>Germany</v>
          </cell>
          <cell r="O38" t="str">
            <v>Gustav Wolf</v>
          </cell>
          <cell r="P38"/>
          <cell r="Q38"/>
          <cell r="R38"/>
        </row>
        <row r="39">
          <cell r="B39">
            <v>33</v>
          </cell>
          <cell r="C39">
            <v>0</v>
          </cell>
          <cell r="D39" t="str">
            <v>Rope</v>
          </cell>
          <cell r="E39" t="str">
            <v>ОСП0006928</v>
          </cell>
          <cell r="F39">
            <v>40451514121</v>
          </cell>
          <cell r="G39" t="str">
            <v>605306510</v>
          </cell>
          <cell r="H39" t="str">
            <v>Канат  D8,0mm F1 6x19M-NFC 1770 sZ 37,4 kN</v>
          </cell>
          <cell r="I39" t="str">
            <v>Wolf OSG Rope D8,0mm F1 6x19M-NFC 1770 sZ 37,4 kN - 605306510</v>
          </cell>
          <cell r="J39" t="str">
            <v>м</v>
          </cell>
          <cell r="K39"/>
          <cell r="L39"/>
          <cell r="M39" t="str">
            <v>Order</v>
          </cell>
          <cell r="N39" t="str">
            <v>Germany</v>
          </cell>
          <cell r="O39" t="str">
            <v>Gustav Wolf</v>
          </cell>
          <cell r="P39"/>
          <cell r="Q39"/>
          <cell r="R39"/>
        </row>
        <row r="40">
          <cell r="B40">
            <v>34</v>
          </cell>
          <cell r="C40">
            <v>0</v>
          </cell>
          <cell r="D40" t="str">
            <v>Rope</v>
          </cell>
          <cell r="E40" t="str">
            <v>ОСП0006927</v>
          </cell>
          <cell r="F40">
            <v>40451514120</v>
          </cell>
          <cell r="G40" t="str">
            <v>6000221380</v>
          </cell>
          <cell r="H40" t="str">
            <v>Канат ограничителя скорости 8x19W-IWRC 1570 U sZ - 44,6kN</v>
          </cell>
          <cell r="I40" t="str">
            <v>Drako 8 mm OSG Rope</v>
          </cell>
          <cell r="J40" t="str">
            <v>м</v>
          </cell>
          <cell r="K40"/>
          <cell r="L40"/>
          <cell r="M40" t="str">
            <v>Order</v>
          </cell>
          <cell r="N40" t="str">
            <v>Germany</v>
          </cell>
          <cell r="O40" t="str">
            <v>Drako</v>
          </cell>
          <cell r="P40"/>
          <cell r="Q40"/>
          <cell r="R40"/>
        </row>
        <row r="41">
          <cell r="B41">
            <v>35</v>
          </cell>
          <cell r="C41">
            <v>0</v>
          </cell>
          <cell r="D41" t="str">
            <v>Rope</v>
          </cell>
          <cell r="E41" t="str">
            <v>ОСП0006925</v>
          </cell>
          <cell r="F41">
            <v>40451514010</v>
          </cell>
          <cell r="G41" t="str">
            <v>60000009285</v>
          </cell>
          <cell r="H41" t="str">
            <v>Канат, 250Т, D=11мм</v>
          </cell>
          <cell r="I41" t="str">
            <v>Drako 250T 11,00mm</v>
          </cell>
          <cell r="J41" t="str">
            <v>м</v>
          </cell>
          <cell r="K41"/>
          <cell r="L41"/>
          <cell r="M41" t="str">
            <v>Order</v>
          </cell>
          <cell r="N41" t="str">
            <v>Germany</v>
          </cell>
          <cell r="O41" t="str">
            <v>Drako</v>
          </cell>
          <cell r="P41"/>
          <cell r="Q41"/>
          <cell r="R41"/>
        </row>
        <row r="42">
          <cell r="B42">
            <v>36</v>
          </cell>
          <cell r="C42">
            <v>0</v>
          </cell>
          <cell r="D42" t="str">
            <v>Rope</v>
          </cell>
          <cell r="E42" t="str">
            <v>ОСП0006926</v>
          </cell>
          <cell r="F42">
            <v>40451514020</v>
          </cell>
          <cell r="G42" t="str">
            <v>6000205380</v>
          </cell>
          <cell r="H42" t="str">
            <v>Канат, 250Т, D=8мм</v>
          </cell>
          <cell r="I42" t="str">
            <v>Drako 250T 8,00mm</v>
          </cell>
          <cell r="J42" t="str">
            <v>м</v>
          </cell>
          <cell r="K42"/>
          <cell r="L42"/>
          <cell r="M42" t="str">
            <v>Order</v>
          </cell>
          <cell r="N42" t="str">
            <v>Germany</v>
          </cell>
          <cell r="O42" t="str">
            <v>Drako</v>
          </cell>
          <cell r="P42"/>
          <cell r="Q42"/>
          <cell r="R42"/>
        </row>
        <row r="43">
          <cell r="B43">
            <v>37</v>
          </cell>
          <cell r="C43">
            <v>0</v>
          </cell>
          <cell r="D43" t="str">
            <v>Rope</v>
          </cell>
          <cell r="E43" t="str">
            <v>ОСП0006930</v>
          </cell>
          <cell r="F43">
            <v>40451514021</v>
          </cell>
          <cell r="G43"/>
          <cell r="H43" t="str">
            <v>Коуш комплект, 5 x d 8,0mm ????</v>
          </cell>
          <cell r="I43" t="str">
            <v>AY rope termination  RRL400-10: 5 x d 8,0mm</v>
          </cell>
          <cell r="J43" t="str">
            <v>компл</v>
          </cell>
          <cell r="K43"/>
          <cell r="L43"/>
          <cell r="M43"/>
          <cell r="N43"/>
          <cell r="O43"/>
          <cell r="P43"/>
          <cell r="Q43"/>
          <cell r="R43"/>
        </row>
        <row r="44">
          <cell r="B44">
            <v>38</v>
          </cell>
          <cell r="C44">
            <v>0</v>
          </cell>
          <cell r="D44" t="str">
            <v>Rope</v>
          </cell>
          <cell r="E44" t="str">
            <v>ОСП0006931</v>
          </cell>
          <cell r="F44">
            <v>40451514011</v>
          </cell>
          <cell r="G44"/>
          <cell r="H44" t="str">
            <v>Коуш комплект, 6 x d 11,0mm ????</v>
          </cell>
          <cell r="I44" t="str">
            <v>AY rope termination  RRL1000-10: 6 x d 11,0mm</v>
          </cell>
          <cell r="J44" t="str">
            <v>компл</v>
          </cell>
          <cell r="K44"/>
          <cell r="L44"/>
          <cell r="M44"/>
          <cell r="N44"/>
          <cell r="O44"/>
          <cell r="P44"/>
          <cell r="Q44"/>
          <cell r="R44"/>
        </row>
        <row r="45">
          <cell r="B45">
            <v>39</v>
          </cell>
          <cell r="C45">
            <v>0</v>
          </cell>
          <cell r="D45" t="str">
            <v>Rope</v>
          </cell>
          <cell r="E45" t="str">
            <v>ОСП0006934</v>
          </cell>
          <cell r="F45">
            <v>40451514026</v>
          </cell>
          <cell r="G45" t="str">
            <v>SS10608KB000315</v>
          </cell>
          <cell r="H45" t="str">
            <v>Устройство заделки каната ограничителя скорости 8 мм</v>
          </cell>
          <cell r="I45" t="str">
            <v>Rope socket complete with wedge, pin and split pins nominal size 8 acc. EN13411-7</v>
          </cell>
          <cell r="J45" t="str">
            <v>шт</v>
          </cell>
          <cell r="K45"/>
          <cell r="L45"/>
          <cell r="M45"/>
          <cell r="N45"/>
          <cell r="O45"/>
          <cell r="P45"/>
          <cell r="Q45"/>
          <cell r="R45"/>
        </row>
        <row r="46">
          <cell r="B46">
            <v>40</v>
          </cell>
          <cell r="C46">
            <v>0</v>
          </cell>
          <cell r="D46" t="str">
            <v>Car</v>
          </cell>
          <cell r="E46" t="str">
            <v>ОСП0010062</v>
          </cell>
          <cell r="F46">
            <v>46451519262</v>
          </cell>
          <cell r="G46"/>
          <cell r="H46" t="str">
            <v>AY Кабина лифта RRL630-SS-M-2CO700</v>
          </cell>
          <cell r="I46" t="str">
            <v>AY RRL630-SS-M-2CO700</v>
          </cell>
          <cell r="J46" t="str">
            <v>компл</v>
          </cell>
          <cell r="K46">
            <v>9</v>
          </cell>
          <cell r="L46" t="str">
            <v>Assembly</v>
          </cell>
          <cell r="M46" t="str">
            <v>Order</v>
          </cell>
          <cell r="N46" t="str">
            <v>Russia</v>
          </cell>
          <cell r="O46"/>
          <cell r="P46"/>
          <cell r="Q46"/>
          <cell r="R46"/>
        </row>
        <row r="47">
          <cell r="B47">
            <v>41</v>
          </cell>
          <cell r="C47">
            <v>0</v>
          </cell>
          <cell r="D47" t="str">
            <v>Car</v>
          </cell>
          <cell r="E47" t="str">
            <v>ОСП0010063</v>
          </cell>
          <cell r="F47"/>
          <cell r="G47"/>
          <cell r="H47" t="str">
            <v>Кабина лифта RRL630-SS-M-2CO700</v>
          </cell>
          <cell r="I47" t="str">
            <v>RRL630-SS-M-2CO700</v>
          </cell>
          <cell r="J47" t="str">
            <v>шт</v>
          </cell>
          <cell r="K47">
            <v>9</v>
          </cell>
          <cell r="L47"/>
          <cell r="M47" t="str">
            <v>Order</v>
          </cell>
          <cell r="N47" t="str">
            <v>Russia</v>
          </cell>
          <cell r="O47"/>
          <cell r="P47"/>
          <cell r="Q47"/>
          <cell r="R47"/>
        </row>
        <row r="48">
          <cell r="B48">
            <v>42</v>
          </cell>
          <cell r="C48">
            <v>0</v>
          </cell>
          <cell r="D48" t="str">
            <v>Car</v>
          </cell>
          <cell r="E48" t="str">
            <v>ОСП0008973</v>
          </cell>
          <cell r="F48">
            <v>46451514141</v>
          </cell>
          <cell r="G48" t="str">
            <v>6167S001000</v>
          </cell>
          <cell r="H48" t="str">
            <v>AY Комплект крепления канатов для лифта 400 кгс контроллером TKAW, 1 м/с</v>
          </cell>
          <cell r="I48" t="str">
            <v>6167S001000_AY_rope_attachment_400_10_NC_A3</v>
          </cell>
          <cell r="J48" t="str">
            <v>компл</v>
          </cell>
          <cell r="K48"/>
          <cell r="L48"/>
          <cell r="M48" t="str">
            <v>Order</v>
          </cell>
          <cell r="N48" t="str">
            <v>Russia</v>
          </cell>
          <cell r="O48"/>
          <cell r="P48"/>
          <cell r="Q48"/>
          <cell r="R48" t="str">
            <v>Substituted by 46451514144</v>
          </cell>
        </row>
        <row r="49">
          <cell r="B49">
            <v>43</v>
          </cell>
          <cell r="C49">
            <v>0</v>
          </cell>
          <cell r="D49" t="str">
            <v>Car</v>
          </cell>
          <cell r="E49" t="str">
            <v>ОСП0007886</v>
          </cell>
          <cell r="F49">
            <v>46456606010</v>
          </cell>
          <cell r="G49" t="str">
            <v>6167S002200_00</v>
          </cell>
          <cell r="H49" t="str">
            <v>AY Панель крепления распределительной коробки</v>
          </cell>
          <cell r="I49" t="str">
            <v>AY Special adaption plate for the electric box car top</v>
          </cell>
          <cell r="J49" t="str">
            <v>шт</v>
          </cell>
          <cell r="K49">
            <v>9</v>
          </cell>
          <cell r="L49"/>
          <cell r="M49" t="str">
            <v>Order</v>
          </cell>
          <cell r="N49" t="str">
            <v>Russia</v>
          </cell>
          <cell r="O49"/>
          <cell r="P49"/>
          <cell r="Q49"/>
          <cell r="R49" t="str">
            <v>1 pcs. for TKAW controller, Yukselis car</v>
          </cell>
        </row>
        <row r="50">
          <cell r="B50">
            <v>44</v>
          </cell>
          <cell r="C50">
            <v>0</v>
          </cell>
          <cell r="D50" t="str">
            <v>Car</v>
          </cell>
          <cell r="E50" t="str">
            <v>ОСП0008636</v>
          </cell>
          <cell r="F50">
            <v>86451519221</v>
          </cell>
          <cell r="G50"/>
          <cell r="H50" t="str">
            <v>Кабина лифта  RRL1000D-DA-FF-RAL7032-Y-2CO800</v>
          </cell>
          <cell r="I50" t="str">
            <v>RRL1000D-DA-FF-RAL7032-Y-2CO800</v>
          </cell>
          <cell r="J50" t="str">
            <v>компл</v>
          </cell>
          <cell r="K50">
            <v>9</v>
          </cell>
          <cell r="L50"/>
          <cell r="M50" t="str">
            <v>Order</v>
          </cell>
          <cell r="N50" t="str">
            <v>Turkey</v>
          </cell>
          <cell r="O50"/>
          <cell r="P50"/>
          <cell r="Q50"/>
          <cell r="R50"/>
        </row>
        <row r="51">
          <cell r="B51">
            <v>45</v>
          </cell>
          <cell r="C51">
            <v>0</v>
          </cell>
          <cell r="D51" t="str">
            <v>Car</v>
          </cell>
          <cell r="E51" t="str">
            <v>ОСП0008640</v>
          </cell>
          <cell r="F51">
            <v>86451519225</v>
          </cell>
          <cell r="G51"/>
          <cell r="H51" t="str">
            <v>Кабина лифта  RRL1000D-DA-FF-RAL7032-Y-2SO900L</v>
          </cell>
          <cell r="I51" t="str">
            <v>RRL1000D-DA-FF-RAL7032-Y-2SO900L</v>
          </cell>
          <cell r="J51" t="str">
            <v>компл</v>
          </cell>
          <cell r="K51">
            <v>9</v>
          </cell>
          <cell r="L51"/>
          <cell r="M51" t="str">
            <v>Order</v>
          </cell>
          <cell r="N51" t="str">
            <v>Turkey</v>
          </cell>
          <cell r="O51"/>
          <cell r="P51"/>
          <cell r="Q51"/>
          <cell r="R51"/>
        </row>
        <row r="52">
          <cell r="B52">
            <v>46</v>
          </cell>
          <cell r="C52">
            <v>0</v>
          </cell>
          <cell r="D52" t="str">
            <v>Car</v>
          </cell>
          <cell r="E52" t="str">
            <v>ОСП0008645</v>
          </cell>
          <cell r="F52">
            <v>86451519229</v>
          </cell>
          <cell r="G52"/>
          <cell r="H52" t="str">
            <v>Кабина лифта  RRL1000D-DA-FF-RAL7032-Y-2SO900R</v>
          </cell>
          <cell r="I52" t="str">
            <v>RRL1000D-DA-FF-RAL7032-Y-2SO900R</v>
          </cell>
          <cell r="J52" t="str">
            <v>компл</v>
          </cell>
          <cell r="K52">
            <v>9</v>
          </cell>
          <cell r="L52"/>
          <cell r="M52" t="str">
            <v>Order</v>
          </cell>
          <cell r="N52" t="str">
            <v>Turkey</v>
          </cell>
          <cell r="O52"/>
          <cell r="P52"/>
          <cell r="Q52"/>
          <cell r="R52"/>
        </row>
        <row r="53">
          <cell r="B53">
            <v>47</v>
          </cell>
          <cell r="C53">
            <v>0</v>
          </cell>
          <cell r="D53" t="str">
            <v>Car</v>
          </cell>
          <cell r="E53" t="str">
            <v>ОСП0008637</v>
          </cell>
          <cell r="F53">
            <v>86451519222</v>
          </cell>
          <cell r="G53"/>
          <cell r="H53" t="str">
            <v>Кабина лифта  RRL1000D-DA-FF-SS-Y-2CO800</v>
          </cell>
          <cell r="I53" t="str">
            <v>RRL1000D-DA-FF-SS-Y-2CO800</v>
          </cell>
          <cell r="J53" t="str">
            <v>компл</v>
          </cell>
          <cell r="K53">
            <v>9</v>
          </cell>
          <cell r="L53"/>
          <cell r="M53" t="str">
            <v>Order</v>
          </cell>
          <cell r="N53" t="str">
            <v>Turkey</v>
          </cell>
          <cell r="O53"/>
          <cell r="P53"/>
          <cell r="Q53"/>
          <cell r="R53"/>
        </row>
        <row r="54">
          <cell r="B54">
            <v>48</v>
          </cell>
          <cell r="C54">
            <v>0</v>
          </cell>
          <cell r="D54" t="str">
            <v>Car</v>
          </cell>
          <cell r="E54" t="str">
            <v>ОСП0008642</v>
          </cell>
          <cell r="F54">
            <v>86451519226</v>
          </cell>
          <cell r="G54"/>
          <cell r="H54" t="str">
            <v>Кабина лифта  RRL1000D-DA-FF-SS-Y-2SO900L</v>
          </cell>
          <cell r="I54" t="str">
            <v>RRL1000D-DA-FF-SS-Y-2SO900L</v>
          </cell>
          <cell r="J54" t="str">
            <v>компл</v>
          </cell>
          <cell r="K54">
            <v>9</v>
          </cell>
          <cell r="L54"/>
          <cell r="M54" t="str">
            <v>Order</v>
          </cell>
          <cell r="N54" t="str">
            <v>Turkey</v>
          </cell>
          <cell r="O54"/>
          <cell r="P54"/>
          <cell r="Q54"/>
          <cell r="R54"/>
        </row>
        <row r="55">
          <cell r="B55">
            <v>49</v>
          </cell>
          <cell r="C55">
            <v>0</v>
          </cell>
          <cell r="D55" t="str">
            <v>Car</v>
          </cell>
          <cell r="E55" t="str">
            <v>ОСП0008646</v>
          </cell>
          <cell r="F55">
            <v>86451519230</v>
          </cell>
          <cell r="G55"/>
          <cell r="H55" t="str">
            <v>Кабина лифта  RRL1000D-DA-FF-SS-Y-2SO900R</v>
          </cell>
          <cell r="I55" t="str">
            <v>RRL1000D-DA-FF-SS-Y-2SO900R</v>
          </cell>
          <cell r="J55" t="str">
            <v>компл</v>
          </cell>
          <cell r="K55">
            <v>9</v>
          </cell>
          <cell r="L55"/>
          <cell r="M55" t="str">
            <v>Order</v>
          </cell>
          <cell r="N55" t="str">
            <v>Turkey</v>
          </cell>
          <cell r="O55"/>
          <cell r="P55"/>
          <cell r="Q55"/>
          <cell r="R55"/>
        </row>
        <row r="56">
          <cell r="B56">
            <v>50</v>
          </cell>
          <cell r="C56">
            <v>0</v>
          </cell>
          <cell r="D56" t="str">
            <v>Car</v>
          </cell>
          <cell r="E56" t="str">
            <v>ОСП0008634</v>
          </cell>
          <cell r="F56">
            <v>86451519219</v>
          </cell>
          <cell r="G56"/>
          <cell r="H56" t="str">
            <v>Кабина лифта  RRL1000D-DA-RAL7032-Y-2CO800</v>
          </cell>
          <cell r="I56" t="str">
            <v>RRL1000D-DA-RAL7032-Y-2CO800</v>
          </cell>
          <cell r="J56" t="str">
            <v>компл</v>
          </cell>
          <cell r="K56">
            <v>9</v>
          </cell>
          <cell r="L56"/>
          <cell r="M56" t="str">
            <v>Order</v>
          </cell>
          <cell r="N56" t="str">
            <v>Turkey</v>
          </cell>
          <cell r="O56"/>
          <cell r="P56"/>
          <cell r="Q56"/>
          <cell r="R56"/>
        </row>
        <row r="57">
          <cell r="B57">
            <v>51</v>
          </cell>
          <cell r="C57">
            <v>0</v>
          </cell>
          <cell r="D57" t="str">
            <v>Car</v>
          </cell>
          <cell r="E57" t="str">
            <v>ОСП0008638</v>
          </cell>
          <cell r="F57">
            <v>86451519223</v>
          </cell>
          <cell r="G57"/>
          <cell r="H57" t="str">
            <v>Кабина лифта  RRL1000D-DA-RAL7032-Y-2SO900L</v>
          </cell>
          <cell r="I57" t="str">
            <v>RRL1000D-DA-RAL7032-Y-2SO900L</v>
          </cell>
          <cell r="J57" t="str">
            <v>компл</v>
          </cell>
          <cell r="K57">
            <v>9</v>
          </cell>
          <cell r="L57"/>
          <cell r="M57" t="str">
            <v>Order</v>
          </cell>
          <cell r="N57" t="str">
            <v>Turkey</v>
          </cell>
          <cell r="O57"/>
          <cell r="P57"/>
          <cell r="Q57"/>
          <cell r="R57"/>
        </row>
        <row r="58">
          <cell r="B58">
            <v>52</v>
          </cell>
          <cell r="C58">
            <v>0</v>
          </cell>
          <cell r="D58" t="str">
            <v>Car</v>
          </cell>
          <cell r="E58" t="str">
            <v>ОСП0008643</v>
          </cell>
          <cell r="F58">
            <v>86451519227</v>
          </cell>
          <cell r="G58"/>
          <cell r="H58" t="str">
            <v>Кабина лифта  RRL1000D-DA-RAL7032-Y-2SO900R</v>
          </cell>
          <cell r="I58" t="str">
            <v>RRL1000D-DA-RAL7032-Y-2SO900R</v>
          </cell>
          <cell r="J58" t="str">
            <v>компл</v>
          </cell>
          <cell r="K58">
            <v>9</v>
          </cell>
          <cell r="L58"/>
          <cell r="M58" t="str">
            <v>Order</v>
          </cell>
          <cell r="N58" t="str">
            <v>Turkey</v>
          </cell>
          <cell r="O58"/>
          <cell r="P58"/>
          <cell r="Q58"/>
          <cell r="R58"/>
        </row>
        <row r="59">
          <cell r="B59">
            <v>53</v>
          </cell>
          <cell r="C59">
            <v>0</v>
          </cell>
          <cell r="D59" t="str">
            <v>Car</v>
          </cell>
          <cell r="E59" t="str">
            <v>ОСП0008635</v>
          </cell>
          <cell r="F59">
            <v>86451519220</v>
          </cell>
          <cell r="G59"/>
          <cell r="H59" t="str">
            <v>Кабина лифта  RRL1000D-DA-SS-Y-2CO800</v>
          </cell>
          <cell r="I59" t="str">
            <v>RRL1000D-DA-SS-Y-2CO800</v>
          </cell>
          <cell r="J59" t="str">
            <v>компл</v>
          </cell>
          <cell r="K59">
            <v>9</v>
          </cell>
          <cell r="L59"/>
          <cell r="M59" t="str">
            <v>Order</v>
          </cell>
          <cell r="N59" t="str">
            <v>Turkey</v>
          </cell>
          <cell r="O59"/>
          <cell r="P59"/>
          <cell r="Q59"/>
          <cell r="R59"/>
        </row>
        <row r="60">
          <cell r="B60">
            <v>54</v>
          </cell>
          <cell r="C60">
            <v>0</v>
          </cell>
          <cell r="D60" t="str">
            <v>Car</v>
          </cell>
          <cell r="E60" t="str">
            <v>ОСП0008639</v>
          </cell>
          <cell r="F60">
            <v>86451519224</v>
          </cell>
          <cell r="G60"/>
          <cell r="H60" t="str">
            <v>Кабина лифта  RRL1000D-DA-SS-Y-2SO900L</v>
          </cell>
          <cell r="I60" t="str">
            <v>RRL1000D-DA-SS-Y-2SO900L</v>
          </cell>
          <cell r="J60" t="str">
            <v>компл</v>
          </cell>
          <cell r="K60">
            <v>9</v>
          </cell>
          <cell r="L60"/>
          <cell r="M60" t="str">
            <v>Order</v>
          </cell>
          <cell r="N60" t="str">
            <v>Turkey</v>
          </cell>
          <cell r="O60"/>
          <cell r="P60"/>
          <cell r="Q60"/>
          <cell r="R60"/>
        </row>
        <row r="61">
          <cell r="B61">
            <v>55</v>
          </cell>
          <cell r="C61">
            <v>0</v>
          </cell>
          <cell r="D61" t="str">
            <v>Car</v>
          </cell>
          <cell r="E61" t="str">
            <v>ОСП0008644</v>
          </cell>
          <cell r="F61">
            <v>86451519228</v>
          </cell>
          <cell r="G61"/>
          <cell r="H61" t="str">
            <v>Кабина лифта  RRL1000D-DA-SS-Y-2SO900R</v>
          </cell>
          <cell r="I61" t="str">
            <v>RRL1000D-DA-SS-Y-2SO900R</v>
          </cell>
          <cell r="J61" t="str">
            <v>компл</v>
          </cell>
          <cell r="K61">
            <v>9</v>
          </cell>
          <cell r="L61"/>
          <cell r="M61" t="str">
            <v>Order</v>
          </cell>
          <cell r="N61" t="str">
            <v>Turkey</v>
          </cell>
          <cell r="O61"/>
          <cell r="P61"/>
          <cell r="Q61"/>
          <cell r="R61"/>
        </row>
        <row r="62">
          <cell r="B62">
            <v>56</v>
          </cell>
          <cell r="C62">
            <v>0</v>
          </cell>
          <cell r="D62" t="str">
            <v>Car</v>
          </cell>
          <cell r="E62" t="str">
            <v>ОСП0008659</v>
          </cell>
          <cell r="F62">
            <v>86451519231</v>
          </cell>
          <cell r="G62"/>
          <cell r="H62" t="str">
            <v>Кабина лифта  RRL400-RAL7032-Y-2SO700L</v>
          </cell>
          <cell r="I62" t="str">
            <v>RRL400-RAL7032-Y-2SO700L</v>
          </cell>
          <cell r="J62" t="str">
            <v>компл</v>
          </cell>
          <cell r="K62">
            <v>9</v>
          </cell>
          <cell r="L62"/>
          <cell r="M62" t="str">
            <v>Order</v>
          </cell>
          <cell r="N62" t="str">
            <v>Turkey</v>
          </cell>
          <cell r="O62"/>
          <cell r="P62"/>
          <cell r="Q62"/>
          <cell r="R62"/>
        </row>
        <row r="63">
          <cell r="B63">
            <v>57</v>
          </cell>
          <cell r="C63">
            <v>0</v>
          </cell>
          <cell r="D63" t="str">
            <v>Car</v>
          </cell>
          <cell r="E63" t="str">
            <v>ОСП0008661</v>
          </cell>
          <cell r="F63">
            <v>86451519233</v>
          </cell>
          <cell r="G63"/>
          <cell r="H63" t="str">
            <v>Кабина лифта  RRL400-RAL7032-Y-2SO700R</v>
          </cell>
          <cell r="I63" t="str">
            <v>RRL400-RAL7032-Y-2SO700R</v>
          </cell>
          <cell r="J63" t="str">
            <v>компл</v>
          </cell>
          <cell r="K63">
            <v>9</v>
          </cell>
          <cell r="L63"/>
          <cell r="M63" t="str">
            <v>Order</v>
          </cell>
          <cell r="N63" t="str">
            <v>Turkey</v>
          </cell>
          <cell r="O63"/>
          <cell r="P63"/>
          <cell r="Q63"/>
          <cell r="R63"/>
        </row>
        <row r="64">
          <cell r="B64">
            <v>58</v>
          </cell>
          <cell r="C64">
            <v>0</v>
          </cell>
          <cell r="D64" t="str">
            <v>Car</v>
          </cell>
          <cell r="E64" t="str">
            <v>ОСП0008660</v>
          </cell>
          <cell r="F64">
            <v>86451519232</v>
          </cell>
          <cell r="G64"/>
          <cell r="H64" t="str">
            <v>Кабина лифта  RRL400-SS-Y-2SO700L</v>
          </cell>
          <cell r="I64" t="str">
            <v>RRL400-SS-Y-2SO700L</v>
          </cell>
          <cell r="J64" t="str">
            <v>компл</v>
          </cell>
          <cell r="K64">
            <v>9</v>
          </cell>
          <cell r="L64"/>
          <cell r="M64" t="str">
            <v>Order</v>
          </cell>
          <cell r="N64" t="str">
            <v>Turkey</v>
          </cell>
          <cell r="O64"/>
          <cell r="P64"/>
          <cell r="Q64"/>
          <cell r="R64"/>
        </row>
        <row r="65">
          <cell r="B65">
            <v>59</v>
          </cell>
          <cell r="C65">
            <v>0</v>
          </cell>
          <cell r="D65" t="str">
            <v>Car</v>
          </cell>
          <cell r="E65" t="str">
            <v>ОСП0008662</v>
          </cell>
          <cell r="F65">
            <v>86451519234</v>
          </cell>
          <cell r="G65"/>
          <cell r="H65" t="str">
            <v>Кабина лифта  RRL400-SS-Y-2SO700R</v>
          </cell>
          <cell r="I65" t="str">
            <v>RRL400-SS-Y-2SO700R</v>
          </cell>
          <cell r="J65" t="str">
            <v>компл</v>
          </cell>
          <cell r="K65">
            <v>9</v>
          </cell>
          <cell r="L65"/>
          <cell r="M65" t="str">
            <v>Order</v>
          </cell>
          <cell r="N65" t="str">
            <v>Turkey</v>
          </cell>
          <cell r="O65"/>
          <cell r="P65"/>
          <cell r="Q65"/>
          <cell r="R65"/>
        </row>
        <row r="66">
          <cell r="B66">
            <v>60</v>
          </cell>
          <cell r="C66">
            <v>0</v>
          </cell>
          <cell r="D66" t="str">
            <v>Car</v>
          </cell>
          <cell r="E66" t="str">
            <v>ОСП0008632</v>
          </cell>
          <cell r="F66">
            <v>86451519217</v>
          </cell>
          <cell r="G66"/>
          <cell r="H66" t="str">
            <v>Кабина лифта  RRL630-RAL7032-Y-2CO800</v>
          </cell>
          <cell r="I66" t="str">
            <v>RRL630-RAL7032-Y-2CO800</v>
          </cell>
          <cell r="J66" t="str">
            <v>компл</v>
          </cell>
          <cell r="K66">
            <v>9</v>
          </cell>
          <cell r="L66"/>
          <cell r="M66" t="str">
            <v>Order</v>
          </cell>
          <cell r="N66" t="str">
            <v>Turkey</v>
          </cell>
          <cell r="O66"/>
          <cell r="P66"/>
          <cell r="Q66"/>
          <cell r="R66"/>
        </row>
        <row r="67">
          <cell r="B67">
            <v>61</v>
          </cell>
          <cell r="C67">
            <v>0</v>
          </cell>
          <cell r="D67" t="str">
            <v>Car</v>
          </cell>
          <cell r="E67" t="str">
            <v>ОСП0008628</v>
          </cell>
          <cell r="F67">
            <v>86451519213</v>
          </cell>
          <cell r="G67"/>
          <cell r="H67" t="str">
            <v>Кабина лифта  RRL630-RAL7032-Y-2SO900L</v>
          </cell>
          <cell r="I67" t="str">
            <v>RRL630-RAL7032-Y-2SO900L</v>
          </cell>
          <cell r="J67" t="str">
            <v>компл</v>
          </cell>
          <cell r="K67">
            <v>9</v>
          </cell>
          <cell r="L67"/>
          <cell r="M67" t="str">
            <v>Order</v>
          </cell>
          <cell r="N67" t="str">
            <v>Turkey</v>
          </cell>
          <cell r="O67"/>
          <cell r="P67"/>
          <cell r="Q67"/>
          <cell r="R67"/>
        </row>
        <row r="68">
          <cell r="B68">
            <v>62</v>
          </cell>
          <cell r="C68">
            <v>0</v>
          </cell>
          <cell r="D68" t="str">
            <v>Car</v>
          </cell>
          <cell r="E68" t="str">
            <v>ОСП0008630</v>
          </cell>
          <cell r="F68">
            <v>86451519215</v>
          </cell>
          <cell r="G68"/>
          <cell r="H68" t="str">
            <v>Кабина лифта  RRL630-RAL7032-Y-2SO900R</v>
          </cell>
          <cell r="I68" t="str">
            <v>RRL630-RAL7032-Y-2SO900R</v>
          </cell>
          <cell r="J68" t="str">
            <v>компл</v>
          </cell>
          <cell r="K68">
            <v>9</v>
          </cell>
          <cell r="L68"/>
          <cell r="M68" t="str">
            <v>Order</v>
          </cell>
          <cell r="N68" t="str">
            <v>Turkey</v>
          </cell>
          <cell r="O68"/>
          <cell r="P68"/>
          <cell r="Q68"/>
          <cell r="R68"/>
        </row>
        <row r="69">
          <cell r="B69">
            <v>63</v>
          </cell>
          <cell r="C69">
            <v>0</v>
          </cell>
          <cell r="D69" t="str">
            <v>Car</v>
          </cell>
          <cell r="E69" t="str">
            <v>ОСП0008633</v>
          </cell>
          <cell r="F69">
            <v>86451519218</v>
          </cell>
          <cell r="G69"/>
          <cell r="H69" t="str">
            <v>Кабина лифта  RRL630-SS-Y-2CO800</v>
          </cell>
          <cell r="I69" t="str">
            <v>RRL630-SS-Y-2CO800</v>
          </cell>
          <cell r="J69" t="str">
            <v>компл</v>
          </cell>
          <cell r="K69">
            <v>9</v>
          </cell>
          <cell r="L69"/>
          <cell r="M69" t="str">
            <v>Order</v>
          </cell>
          <cell r="N69" t="str">
            <v>Turkey</v>
          </cell>
          <cell r="O69"/>
          <cell r="P69"/>
          <cell r="Q69"/>
          <cell r="R69"/>
        </row>
        <row r="70">
          <cell r="B70">
            <v>64</v>
          </cell>
          <cell r="C70">
            <v>0</v>
          </cell>
          <cell r="D70" t="str">
            <v>Car</v>
          </cell>
          <cell r="E70" t="str">
            <v>ОСП0008629</v>
          </cell>
          <cell r="F70">
            <v>86451519214</v>
          </cell>
          <cell r="G70"/>
          <cell r="H70" t="str">
            <v>Кабина лифта  RRL630-SS-Y-2SO900L</v>
          </cell>
          <cell r="I70" t="str">
            <v>RRL630-SS-Y-2SO900L</v>
          </cell>
          <cell r="J70" t="str">
            <v>компл</v>
          </cell>
          <cell r="K70">
            <v>9</v>
          </cell>
          <cell r="L70"/>
          <cell r="M70" t="str">
            <v>Order</v>
          </cell>
          <cell r="N70" t="str">
            <v>Turkey</v>
          </cell>
          <cell r="O70"/>
          <cell r="P70"/>
          <cell r="Q70"/>
          <cell r="R70"/>
        </row>
        <row r="71">
          <cell r="B71">
            <v>65</v>
          </cell>
          <cell r="C71">
            <v>0</v>
          </cell>
          <cell r="D71" t="str">
            <v>Car</v>
          </cell>
          <cell r="E71" t="str">
            <v>ОСП0008631</v>
          </cell>
          <cell r="F71">
            <v>86451519216</v>
          </cell>
          <cell r="G71"/>
          <cell r="H71" t="str">
            <v>Кабина лифта  RRL630-SS-Y-2SO900R</v>
          </cell>
          <cell r="I71" t="str">
            <v>RRL630-SS-Y-2SO900R</v>
          </cell>
          <cell r="J71" t="str">
            <v>компл</v>
          </cell>
          <cell r="K71">
            <v>9</v>
          </cell>
          <cell r="L71"/>
          <cell r="M71" t="str">
            <v>Order</v>
          </cell>
          <cell r="N71" t="str">
            <v>Turkey</v>
          </cell>
          <cell r="O71"/>
          <cell r="P71"/>
          <cell r="Q71"/>
          <cell r="R71"/>
        </row>
        <row r="72">
          <cell r="B72">
            <v>66</v>
          </cell>
          <cell r="C72">
            <v>0</v>
          </cell>
          <cell r="D72" t="str">
            <v>Car</v>
          </cell>
          <cell r="E72" t="str">
            <v>ОСП0006793</v>
          </cell>
          <cell r="F72">
            <v>86451519103</v>
          </cell>
          <cell r="G72"/>
          <cell r="H72" t="str">
            <v>Кабина лифта RRL 400кг., SS SC</v>
          </cell>
          <cell r="I72" t="str">
            <v>AY Car RRL 400, SS SC (old type)</v>
          </cell>
          <cell r="J72" t="str">
            <v>компл</v>
          </cell>
          <cell r="K72">
            <v>9</v>
          </cell>
          <cell r="L72"/>
          <cell r="M72" t="str">
            <v>Order</v>
          </cell>
          <cell r="N72" t="str">
            <v>Turkey</v>
          </cell>
          <cell r="O72"/>
          <cell r="P72"/>
          <cell r="Q72"/>
          <cell r="R72"/>
        </row>
        <row r="73">
          <cell r="B73">
            <v>67</v>
          </cell>
          <cell r="C73">
            <v>0</v>
          </cell>
          <cell r="D73" t="str">
            <v>Car</v>
          </cell>
          <cell r="E73" t="str">
            <v>ОСП0008004</v>
          </cell>
          <cell r="F73">
            <v>86451519405</v>
          </cell>
          <cell r="G73" t="str">
            <v>86451519405</v>
          </cell>
          <cell r="H73" t="str">
            <v>Кабина лифта RRL1000D-FF -RAL7032-Y-2SO900L</v>
          </cell>
          <cell r="I73" t="str">
            <v>RRL1000D-FF -RAL7032-Y-2SO900L</v>
          </cell>
          <cell r="J73" t="str">
            <v>компл</v>
          </cell>
          <cell r="K73">
            <v>9</v>
          </cell>
          <cell r="L73"/>
          <cell r="M73" t="str">
            <v>Order</v>
          </cell>
          <cell r="N73" t="str">
            <v>Turkey</v>
          </cell>
          <cell r="O73"/>
          <cell r="P73"/>
          <cell r="Q73"/>
          <cell r="R73"/>
        </row>
        <row r="74">
          <cell r="B74">
            <v>68</v>
          </cell>
          <cell r="C74">
            <v>0</v>
          </cell>
          <cell r="D74" t="str">
            <v>Car</v>
          </cell>
          <cell r="E74" t="str">
            <v>ОСП0007520</v>
          </cell>
          <cell r="F74">
            <v>86451519304</v>
          </cell>
          <cell r="G74" t="str">
            <v>86451519304</v>
          </cell>
          <cell r="H74" t="str">
            <v>Кабина лифта RRL1000D-FF-RAL7032-Y-2CO800</v>
          </cell>
          <cell r="I74" t="str">
            <v>RRL1000D-FF-RAL7032-Y-2CO800</v>
          </cell>
          <cell r="J74" t="str">
            <v>компл</v>
          </cell>
          <cell r="K74">
            <v>9</v>
          </cell>
          <cell r="L74"/>
          <cell r="M74" t="str">
            <v>Order</v>
          </cell>
          <cell r="N74" t="str">
            <v>Turkey</v>
          </cell>
          <cell r="O74"/>
          <cell r="P74"/>
          <cell r="Q74"/>
          <cell r="R74"/>
        </row>
        <row r="75">
          <cell r="B75">
            <v>69</v>
          </cell>
          <cell r="C75">
            <v>0</v>
          </cell>
          <cell r="D75" t="str">
            <v>Car</v>
          </cell>
          <cell r="E75" t="str">
            <v>ОСП0007526</v>
          </cell>
          <cell r="F75">
            <v>86451519310</v>
          </cell>
          <cell r="G75" t="str">
            <v>86451519310</v>
          </cell>
          <cell r="H75" t="str">
            <v>Кабина лифта RRL1000D-FF-RAL7032-Y-2SO900R</v>
          </cell>
          <cell r="I75" t="str">
            <v>RRL1000D-FF-RAL7032-Y-2SO900R</v>
          </cell>
          <cell r="J75" t="str">
            <v>компл</v>
          </cell>
          <cell r="K75">
            <v>9</v>
          </cell>
          <cell r="L75"/>
          <cell r="M75" t="str">
            <v>Order</v>
          </cell>
          <cell r="N75" t="str">
            <v>Turkey</v>
          </cell>
          <cell r="O75"/>
          <cell r="P75"/>
          <cell r="Q75"/>
          <cell r="R75"/>
        </row>
        <row r="76">
          <cell r="B76">
            <v>70</v>
          </cell>
          <cell r="C76">
            <v>0</v>
          </cell>
          <cell r="D76" t="str">
            <v>Car</v>
          </cell>
          <cell r="E76" t="str">
            <v>ОСП0008006</v>
          </cell>
          <cell r="F76">
            <v>86451519407</v>
          </cell>
          <cell r="G76" t="str">
            <v>86451519407</v>
          </cell>
          <cell r="H76" t="str">
            <v>Кабина лифта RRL1000D-FF-SS-Y-2CO800</v>
          </cell>
          <cell r="I76" t="str">
            <v>RRL1000D-FF-SS-Y-2CO800</v>
          </cell>
          <cell r="J76" t="str">
            <v>компл</v>
          </cell>
          <cell r="K76">
            <v>9</v>
          </cell>
          <cell r="L76"/>
          <cell r="M76" t="str">
            <v>Order</v>
          </cell>
          <cell r="N76" t="str">
            <v>Turkey</v>
          </cell>
          <cell r="O76"/>
          <cell r="P76"/>
          <cell r="Q76"/>
          <cell r="R76"/>
        </row>
        <row r="77">
          <cell r="B77">
            <v>71</v>
          </cell>
          <cell r="C77">
            <v>0</v>
          </cell>
          <cell r="D77" t="str">
            <v>Car</v>
          </cell>
          <cell r="E77" t="str">
            <v>ОСП0007521</v>
          </cell>
          <cell r="F77">
            <v>86451519305</v>
          </cell>
          <cell r="G77" t="str">
            <v>86451519305</v>
          </cell>
          <cell r="H77" t="str">
            <v>Кабина лифта RRL1000D-FF-SS-Y-2SO900L</v>
          </cell>
          <cell r="I77" t="str">
            <v>RRL1000D-FF-SS-Y-2SO900L</v>
          </cell>
          <cell r="J77" t="str">
            <v>компл</v>
          </cell>
          <cell r="K77">
            <v>9</v>
          </cell>
          <cell r="L77"/>
          <cell r="M77" t="str">
            <v>Order</v>
          </cell>
          <cell r="N77" t="str">
            <v>Turkey</v>
          </cell>
          <cell r="O77"/>
          <cell r="P77"/>
          <cell r="Q77"/>
          <cell r="R77"/>
        </row>
        <row r="78">
          <cell r="B78">
            <v>72</v>
          </cell>
          <cell r="C78">
            <v>0</v>
          </cell>
          <cell r="D78" t="str">
            <v>Car</v>
          </cell>
          <cell r="E78" t="str">
            <v>ОСП0007527</v>
          </cell>
          <cell r="F78">
            <v>86451519311</v>
          </cell>
          <cell r="G78" t="str">
            <v>86451519311</v>
          </cell>
          <cell r="H78" t="str">
            <v>Кабина лифта RRL1000D-FF-SS-Y-2SO900R</v>
          </cell>
          <cell r="I78" t="str">
            <v>RRL1000D-FF-SS-Y-2SO900R</v>
          </cell>
          <cell r="J78" t="str">
            <v>компл</v>
          </cell>
          <cell r="K78">
            <v>9</v>
          </cell>
          <cell r="L78"/>
          <cell r="M78" t="str">
            <v>Order</v>
          </cell>
          <cell r="N78" t="str">
            <v>Turkey</v>
          </cell>
          <cell r="O78"/>
          <cell r="P78"/>
          <cell r="Q78"/>
          <cell r="R78"/>
        </row>
        <row r="79">
          <cell r="B79">
            <v>73</v>
          </cell>
          <cell r="C79">
            <v>0</v>
          </cell>
          <cell r="D79" t="str">
            <v>Car</v>
          </cell>
          <cell r="E79" t="str">
            <v>ОСП0008000</v>
          </cell>
          <cell r="F79">
            <v>86451519401</v>
          </cell>
          <cell r="G79" t="str">
            <v>86451519401</v>
          </cell>
          <cell r="H79" t="str">
            <v>Кабина лифта RRL1000D-RAL7032-Y-2CO800</v>
          </cell>
          <cell r="I79" t="str">
            <v>RRL1000D-RAL7032-Y-2CO800</v>
          </cell>
          <cell r="J79" t="str">
            <v>компл</v>
          </cell>
          <cell r="K79">
            <v>9</v>
          </cell>
          <cell r="L79"/>
          <cell r="M79" t="str">
            <v>Order</v>
          </cell>
          <cell r="N79" t="str">
            <v>Turkey</v>
          </cell>
          <cell r="O79"/>
          <cell r="P79"/>
          <cell r="Q79"/>
          <cell r="R79"/>
        </row>
        <row r="80">
          <cell r="B80">
            <v>74</v>
          </cell>
          <cell r="C80">
            <v>0</v>
          </cell>
          <cell r="D80" t="str">
            <v>Car</v>
          </cell>
          <cell r="E80" t="str">
            <v>ОСП0007517</v>
          </cell>
          <cell r="F80">
            <v>86451519301</v>
          </cell>
          <cell r="G80" t="str">
            <v>86451519301</v>
          </cell>
          <cell r="H80" t="str">
            <v>Кабина лифта RRL1000D-RAL7032-Y-2SO900L</v>
          </cell>
          <cell r="I80" t="str">
            <v>RRL1000D-RAL7032-Y-2SO900L</v>
          </cell>
          <cell r="J80" t="str">
            <v>компл</v>
          </cell>
          <cell r="K80">
            <v>9</v>
          </cell>
          <cell r="L80"/>
          <cell r="M80" t="str">
            <v>Order</v>
          </cell>
          <cell r="N80" t="str">
            <v>Turkey</v>
          </cell>
          <cell r="O80"/>
          <cell r="P80"/>
          <cell r="Q80"/>
          <cell r="R80"/>
        </row>
        <row r="81">
          <cell r="B81">
            <v>75</v>
          </cell>
          <cell r="C81">
            <v>0</v>
          </cell>
          <cell r="D81" t="str">
            <v>Car</v>
          </cell>
          <cell r="E81" t="str">
            <v>ОСП0007523</v>
          </cell>
          <cell r="F81">
            <v>86451519307</v>
          </cell>
          <cell r="G81" t="str">
            <v>86451519307</v>
          </cell>
          <cell r="H81" t="str">
            <v>Кабина лифта RRL1000D-RAL7032-Y-2SO900R</v>
          </cell>
          <cell r="I81" t="str">
            <v>RRL1000D-RAL7032-Y-2SO900R</v>
          </cell>
          <cell r="J81" t="str">
            <v>компл</v>
          </cell>
          <cell r="K81">
            <v>9</v>
          </cell>
          <cell r="L81"/>
          <cell r="M81" t="str">
            <v>Order</v>
          </cell>
          <cell r="N81" t="str">
            <v>Turkey</v>
          </cell>
          <cell r="O81"/>
          <cell r="P81"/>
          <cell r="Q81"/>
          <cell r="R81"/>
        </row>
        <row r="82">
          <cell r="B82">
            <v>76</v>
          </cell>
          <cell r="C82">
            <v>0</v>
          </cell>
          <cell r="D82" t="str">
            <v>Car</v>
          </cell>
          <cell r="E82" t="str">
            <v>ОСП0007524</v>
          </cell>
          <cell r="F82">
            <v>86451519308</v>
          </cell>
          <cell r="G82" t="str">
            <v>86451519308</v>
          </cell>
          <cell r="H82" t="str">
            <v>Кабина лифта RRL1000D-SS -Y-2SO900R</v>
          </cell>
          <cell r="I82" t="str">
            <v>RRL1000D-SS -Y-2SO900R</v>
          </cell>
          <cell r="J82" t="str">
            <v>компл</v>
          </cell>
          <cell r="K82">
            <v>9</v>
          </cell>
          <cell r="L82"/>
          <cell r="M82" t="str">
            <v>Order</v>
          </cell>
          <cell r="N82" t="str">
            <v>Turkey</v>
          </cell>
          <cell r="O82"/>
          <cell r="P82"/>
          <cell r="Q82"/>
          <cell r="R82"/>
        </row>
        <row r="83">
          <cell r="B83">
            <v>77</v>
          </cell>
          <cell r="C83">
            <v>0</v>
          </cell>
          <cell r="D83" t="str">
            <v>Car</v>
          </cell>
          <cell r="E83" t="str">
            <v>ОСП0008002</v>
          </cell>
          <cell r="F83">
            <v>86451519403</v>
          </cell>
          <cell r="G83" t="str">
            <v>86451519403</v>
          </cell>
          <cell r="H83" t="str">
            <v>Кабина лифта RRL1000D-SS-Y-2CO800</v>
          </cell>
          <cell r="I83" t="str">
            <v>RRL1000D-SS-Y-2CO800</v>
          </cell>
          <cell r="J83" t="str">
            <v>компл</v>
          </cell>
          <cell r="K83">
            <v>9</v>
          </cell>
          <cell r="L83"/>
          <cell r="M83" t="str">
            <v>Order</v>
          </cell>
          <cell r="N83" t="str">
            <v>Turkey</v>
          </cell>
          <cell r="O83"/>
          <cell r="P83"/>
          <cell r="Q83"/>
          <cell r="R83"/>
        </row>
        <row r="84">
          <cell r="B84">
            <v>78</v>
          </cell>
          <cell r="C84">
            <v>0</v>
          </cell>
          <cell r="D84" t="str">
            <v>Car</v>
          </cell>
          <cell r="E84" t="str">
            <v>ОСП0007518</v>
          </cell>
          <cell r="F84">
            <v>86451519302</v>
          </cell>
          <cell r="G84" t="str">
            <v>86451519302</v>
          </cell>
          <cell r="H84" t="str">
            <v>Кабина лифта RRL1000D-SS-Y-2SO900L</v>
          </cell>
          <cell r="I84" t="str">
            <v>RRL1000D-SS-Y-2SO900L</v>
          </cell>
          <cell r="J84" t="str">
            <v>компл</v>
          </cell>
          <cell r="K84">
            <v>9</v>
          </cell>
          <cell r="L84"/>
          <cell r="M84" t="str">
            <v>Order</v>
          </cell>
          <cell r="N84" t="str">
            <v>Turkey</v>
          </cell>
          <cell r="O84"/>
          <cell r="P84"/>
          <cell r="Q84"/>
          <cell r="R84"/>
        </row>
        <row r="85">
          <cell r="B85">
            <v>79</v>
          </cell>
          <cell r="C85">
            <v>0</v>
          </cell>
          <cell r="D85" t="str">
            <v>Car</v>
          </cell>
          <cell r="E85" t="str">
            <v>ОСП0006369</v>
          </cell>
          <cell r="F85">
            <v>86451519203</v>
          </cell>
          <cell r="G85" t="str">
            <v>86451519203</v>
          </cell>
          <cell r="H85" t="str">
            <v>Кабина лифта RRL1000W-FF-RAL7032-Y-2SO1200L</v>
          </cell>
          <cell r="I85" t="str">
            <v>RRL1000W-FF-RAL7032-Y-2SO1200L</v>
          </cell>
          <cell r="J85" t="str">
            <v>компл</v>
          </cell>
          <cell r="K85">
            <v>9</v>
          </cell>
          <cell r="L85"/>
          <cell r="M85" t="str">
            <v>Order</v>
          </cell>
          <cell r="N85" t="str">
            <v>Turkey</v>
          </cell>
          <cell r="O85"/>
          <cell r="P85"/>
          <cell r="Q85"/>
          <cell r="R85"/>
        </row>
        <row r="86">
          <cell r="B86">
            <v>80</v>
          </cell>
          <cell r="C86">
            <v>0</v>
          </cell>
          <cell r="D86" t="str">
            <v>Car</v>
          </cell>
          <cell r="E86" t="str">
            <v>ОСП0006803</v>
          </cell>
          <cell r="F86">
            <v>86451519211</v>
          </cell>
          <cell r="G86" t="str">
            <v>86451519211</v>
          </cell>
          <cell r="H86" t="str">
            <v>Кабина лифта RRL1000W-FF-RAL7032-Y-2SO1200R</v>
          </cell>
          <cell r="I86" t="str">
            <v>RRL1000W-FF-RAL7032-Y-2SO1200R</v>
          </cell>
          <cell r="J86" t="str">
            <v>компл</v>
          </cell>
          <cell r="K86">
            <v>9</v>
          </cell>
          <cell r="L86"/>
          <cell r="M86" t="str">
            <v>Order</v>
          </cell>
          <cell r="N86" t="str">
            <v>Turkey</v>
          </cell>
          <cell r="O86"/>
          <cell r="P86"/>
          <cell r="Q86"/>
          <cell r="R86"/>
        </row>
        <row r="87">
          <cell r="B87">
            <v>81</v>
          </cell>
          <cell r="C87">
            <v>0</v>
          </cell>
          <cell r="D87" t="str">
            <v>Car</v>
          </cell>
          <cell r="E87" t="str">
            <v>ОСП0006370</v>
          </cell>
          <cell r="F87">
            <v>86451519204</v>
          </cell>
          <cell r="G87" t="str">
            <v>86451519204</v>
          </cell>
          <cell r="H87" t="str">
            <v>Кабина лифта RRL1000W-FF-SS-Y-2SO1200L</v>
          </cell>
          <cell r="I87" t="str">
            <v>RRL1000W-FF-SS-Y-2SO1200L</v>
          </cell>
          <cell r="J87" t="str">
            <v>компл</v>
          </cell>
          <cell r="K87">
            <v>9</v>
          </cell>
          <cell r="L87"/>
          <cell r="M87" t="str">
            <v>Order</v>
          </cell>
          <cell r="N87" t="str">
            <v>Turkey</v>
          </cell>
          <cell r="O87"/>
          <cell r="P87"/>
          <cell r="Q87"/>
          <cell r="R87"/>
        </row>
        <row r="88">
          <cell r="B88">
            <v>82</v>
          </cell>
          <cell r="C88">
            <v>0</v>
          </cell>
          <cell r="D88" t="str">
            <v>Car</v>
          </cell>
          <cell r="E88" t="str">
            <v>ОСП0006800</v>
          </cell>
          <cell r="F88">
            <v>86451519210</v>
          </cell>
          <cell r="G88" t="str">
            <v>86451519210</v>
          </cell>
          <cell r="H88" t="str">
            <v>Кабина лифта RRL1000W-FF-SS-Y-2SO1200R</v>
          </cell>
          <cell r="I88" t="str">
            <v>RRL1000W-FF-SS-Y-2SO1200R</v>
          </cell>
          <cell r="J88" t="str">
            <v>компл</v>
          </cell>
          <cell r="K88">
            <v>9</v>
          </cell>
          <cell r="L88"/>
          <cell r="M88" t="str">
            <v>Order</v>
          </cell>
          <cell r="N88" t="str">
            <v>Turkey</v>
          </cell>
          <cell r="O88"/>
          <cell r="P88"/>
          <cell r="Q88"/>
          <cell r="R88"/>
        </row>
        <row r="89">
          <cell r="B89">
            <v>83</v>
          </cell>
          <cell r="C89">
            <v>0</v>
          </cell>
          <cell r="D89" t="str">
            <v>Car</v>
          </cell>
          <cell r="E89" t="str">
            <v>ОСП0005509</v>
          </cell>
          <cell r="F89">
            <v>86451519201</v>
          </cell>
          <cell r="G89" t="str">
            <v>86451519201</v>
          </cell>
          <cell r="H89" t="str">
            <v>Кабина лифта RRL1000W-RAL7032-Y-2SO1200L</v>
          </cell>
          <cell r="I89" t="str">
            <v>RRL1000W-RAL7032-Y-2SO1200L</v>
          </cell>
          <cell r="J89" t="str">
            <v>компл</v>
          </cell>
          <cell r="K89">
            <v>9</v>
          </cell>
          <cell r="L89"/>
          <cell r="M89" t="str">
            <v>Order</v>
          </cell>
          <cell r="N89" t="str">
            <v>Turkey</v>
          </cell>
          <cell r="O89"/>
          <cell r="P89"/>
          <cell r="Q89"/>
          <cell r="R89"/>
        </row>
        <row r="90">
          <cell r="B90">
            <v>84</v>
          </cell>
          <cell r="C90">
            <v>0</v>
          </cell>
          <cell r="D90" t="str">
            <v>Car</v>
          </cell>
          <cell r="E90" t="str">
            <v>ОСП0006798</v>
          </cell>
          <cell r="F90">
            <v>86451519208</v>
          </cell>
          <cell r="G90" t="str">
            <v>86451519208</v>
          </cell>
          <cell r="H90" t="str">
            <v>Кабина лифта RRL1000W-RAL7032-Y-2SO1200R</v>
          </cell>
          <cell r="I90" t="str">
            <v>RRL1000W-RAL7032-Y-2SO1200R</v>
          </cell>
          <cell r="J90" t="str">
            <v>компл</v>
          </cell>
          <cell r="K90">
            <v>9</v>
          </cell>
          <cell r="L90"/>
          <cell r="M90" t="str">
            <v>Order</v>
          </cell>
          <cell r="N90" t="str">
            <v>Turkey</v>
          </cell>
          <cell r="O90"/>
          <cell r="P90"/>
          <cell r="Q90"/>
          <cell r="R90"/>
        </row>
        <row r="91">
          <cell r="B91">
            <v>85</v>
          </cell>
          <cell r="C91">
            <v>0</v>
          </cell>
          <cell r="D91" t="str">
            <v>Car</v>
          </cell>
          <cell r="E91" t="str">
            <v>ОСП0005508</v>
          </cell>
          <cell r="F91">
            <v>86451519202</v>
          </cell>
          <cell r="G91" t="str">
            <v>86451519202</v>
          </cell>
          <cell r="H91" t="str">
            <v>Кабина лифта RRL1000W-SS-Y-2SO1200L</v>
          </cell>
          <cell r="I91" t="str">
            <v>RRL1000W-SS-Y-2SO1200L</v>
          </cell>
          <cell r="J91" t="str">
            <v>компл</v>
          </cell>
          <cell r="K91">
            <v>9</v>
          </cell>
          <cell r="L91"/>
          <cell r="M91" t="str">
            <v>Order</v>
          </cell>
          <cell r="N91" t="str">
            <v>Turkey</v>
          </cell>
          <cell r="O91"/>
          <cell r="P91"/>
          <cell r="Q91"/>
          <cell r="R91"/>
        </row>
        <row r="92">
          <cell r="B92">
            <v>86</v>
          </cell>
          <cell r="C92">
            <v>0</v>
          </cell>
          <cell r="D92" t="str">
            <v>Car</v>
          </cell>
          <cell r="E92" t="str">
            <v>ОСП0006799</v>
          </cell>
          <cell r="F92">
            <v>86451519209</v>
          </cell>
          <cell r="G92" t="str">
            <v>86451519209</v>
          </cell>
          <cell r="H92" t="str">
            <v>Кабина лифта RRL1000W-SS-Y-2SO1200R</v>
          </cell>
          <cell r="I92" t="str">
            <v>RRL1000W-SS-Y-2SO1200R</v>
          </cell>
          <cell r="J92" t="str">
            <v>компл</v>
          </cell>
          <cell r="K92">
            <v>9</v>
          </cell>
          <cell r="L92"/>
          <cell r="M92" t="str">
            <v>Order</v>
          </cell>
          <cell r="N92" t="str">
            <v>Turkey</v>
          </cell>
          <cell r="O92"/>
          <cell r="P92"/>
          <cell r="Q92"/>
          <cell r="R92"/>
        </row>
        <row r="93">
          <cell r="B93">
            <v>87</v>
          </cell>
          <cell r="C93">
            <v>0</v>
          </cell>
          <cell r="D93" t="str">
            <v>Car</v>
          </cell>
          <cell r="E93" t="str">
            <v>ОСП0005507</v>
          </cell>
          <cell r="F93">
            <v>86451519101</v>
          </cell>
          <cell r="G93" t="str">
            <v>86451519101</v>
          </cell>
          <cell r="H93" t="str">
            <v>Кабина лифта RRL400-RAL7032-Y-2CO700</v>
          </cell>
          <cell r="I93" t="str">
            <v>RRL400-RAL7032-Y-2CO700</v>
          </cell>
          <cell r="J93" t="str">
            <v>компл</v>
          </cell>
          <cell r="K93">
            <v>9</v>
          </cell>
          <cell r="L93"/>
          <cell r="M93" t="str">
            <v>Order</v>
          </cell>
          <cell r="N93" t="str">
            <v>Turkey</v>
          </cell>
          <cell r="O93"/>
          <cell r="P93"/>
          <cell r="Q93"/>
          <cell r="R93"/>
        </row>
        <row r="94">
          <cell r="B94">
            <v>88</v>
          </cell>
          <cell r="C94">
            <v>0</v>
          </cell>
          <cell r="D94" t="str">
            <v>Car</v>
          </cell>
          <cell r="E94" t="str">
            <v>ОСП0006368</v>
          </cell>
          <cell r="F94">
            <v>86451519102</v>
          </cell>
          <cell r="G94" t="str">
            <v>86451519102</v>
          </cell>
          <cell r="H94" t="str">
            <v>Кабина лифта RRL400-SS-Y-2CO700</v>
          </cell>
          <cell r="I94" t="str">
            <v>RRL400-SS-Y-2CO700</v>
          </cell>
          <cell r="J94" t="str">
            <v>компл</v>
          </cell>
          <cell r="K94">
            <v>9</v>
          </cell>
          <cell r="L94"/>
          <cell r="M94" t="str">
            <v>Order</v>
          </cell>
          <cell r="N94" t="str">
            <v>Turkey</v>
          </cell>
          <cell r="O94"/>
          <cell r="P94"/>
          <cell r="Q94"/>
          <cell r="R94"/>
        </row>
        <row r="95">
          <cell r="B95">
            <v>89</v>
          </cell>
          <cell r="C95">
            <v>0</v>
          </cell>
          <cell r="D95" t="str">
            <v>Car</v>
          </cell>
          <cell r="E95" t="str">
            <v>ОСП0007522</v>
          </cell>
          <cell r="F95">
            <v>86451519306</v>
          </cell>
          <cell r="G95"/>
          <cell r="H95" t="str">
            <v>Кабина лифта RRLD 1000кг., FFSS SC, LO</v>
          </cell>
          <cell r="I95" t="str">
            <v>AY Car RRL 1000-D, FFSS, SC, L (old type)</v>
          </cell>
          <cell r="J95" t="str">
            <v>компл</v>
          </cell>
          <cell r="K95">
            <v>9</v>
          </cell>
          <cell r="L95"/>
          <cell r="M95" t="str">
            <v>Order</v>
          </cell>
          <cell r="N95" t="str">
            <v>Turkey</v>
          </cell>
          <cell r="O95"/>
          <cell r="P95"/>
          <cell r="Q95"/>
          <cell r="R95"/>
        </row>
        <row r="96">
          <cell r="B96">
            <v>90</v>
          </cell>
          <cell r="C96">
            <v>0</v>
          </cell>
          <cell r="D96" t="str">
            <v>Car</v>
          </cell>
          <cell r="E96" t="str">
            <v>ОСП0007528</v>
          </cell>
          <cell r="F96">
            <v>86451519312</v>
          </cell>
          <cell r="G96"/>
          <cell r="H96" t="str">
            <v>Кабина лифта RRLD 1000кг., FFSS SC, RO</v>
          </cell>
          <cell r="I96" t="str">
            <v>AY Car RRL 1000-D, FFSS,SC,  R (old type)</v>
          </cell>
          <cell r="J96" t="str">
            <v>компл</v>
          </cell>
          <cell r="K96">
            <v>9</v>
          </cell>
          <cell r="L96"/>
          <cell r="M96" t="str">
            <v>Order</v>
          </cell>
          <cell r="N96" t="str">
            <v>Turkey</v>
          </cell>
          <cell r="O96"/>
          <cell r="P96"/>
          <cell r="Q96"/>
          <cell r="R96"/>
        </row>
        <row r="97">
          <cell r="B97">
            <v>91</v>
          </cell>
          <cell r="C97">
            <v>0</v>
          </cell>
          <cell r="D97" t="str">
            <v>Car</v>
          </cell>
          <cell r="E97" t="str">
            <v>ОСП0008001</v>
          </cell>
          <cell r="F97">
            <v>86451519402</v>
          </cell>
          <cell r="G97"/>
          <cell r="H97" t="str">
            <v>Кабина лифта RRLD 1000кг., RAL7032-Y-2CO800 _16</v>
          </cell>
          <cell r="I97" t="str">
            <v>RRL1000D-RAL7032-Y-2CO800 _16</v>
          </cell>
          <cell r="J97" t="str">
            <v>компл</v>
          </cell>
          <cell r="K97">
            <v>9</v>
          </cell>
          <cell r="L97"/>
          <cell r="M97" t="str">
            <v>Order</v>
          </cell>
          <cell r="N97" t="str">
            <v>Turkey</v>
          </cell>
          <cell r="O97"/>
          <cell r="P97"/>
          <cell r="Q97"/>
          <cell r="R97"/>
        </row>
        <row r="98">
          <cell r="B98">
            <v>92</v>
          </cell>
          <cell r="C98">
            <v>0</v>
          </cell>
          <cell r="D98" t="str">
            <v>Car</v>
          </cell>
          <cell r="E98" t="str">
            <v>ОСП0008005</v>
          </cell>
          <cell r="F98">
            <v>86451519406</v>
          </cell>
          <cell r="G98"/>
          <cell r="H98" t="str">
            <v>Кабина лифта RRLD 1000кг., RAL7032-Y-FF-2CO800 _16</v>
          </cell>
          <cell r="I98" t="str">
            <v>RRL1000D-RAL7032-Y-FF-2CO800 _16</v>
          </cell>
          <cell r="J98" t="str">
            <v>компл</v>
          </cell>
          <cell r="K98">
            <v>9</v>
          </cell>
          <cell r="L98"/>
          <cell r="M98" t="str">
            <v>Order</v>
          </cell>
          <cell r="N98" t="str">
            <v>Turkey</v>
          </cell>
          <cell r="O98"/>
          <cell r="P98"/>
          <cell r="Q98"/>
          <cell r="R98"/>
        </row>
        <row r="99">
          <cell r="B99">
            <v>93</v>
          </cell>
          <cell r="C99">
            <v>0</v>
          </cell>
          <cell r="D99" t="str">
            <v>Car</v>
          </cell>
          <cell r="E99" t="str">
            <v>ОСП0007519</v>
          </cell>
          <cell r="F99">
            <v>86451519303</v>
          </cell>
          <cell r="G99"/>
          <cell r="H99" t="str">
            <v>Кабина лифта RRLD 1000кг., SS SC, LO</v>
          </cell>
          <cell r="I99" t="str">
            <v>AY Car RRL 1000-D, SS, SC, L (old type)</v>
          </cell>
          <cell r="J99" t="str">
            <v>компл</v>
          </cell>
          <cell r="K99">
            <v>9</v>
          </cell>
          <cell r="L99"/>
          <cell r="M99" t="str">
            <v>Order</v>
          </cell>
          <cell r="N99" t="str">
            <v>Turkey</v>
          </cell>
          <cell r="O99"/>
          <cell r="P99"/>
          <cell r="Q99"/>
          <cell r="R99"/>
        </row>
        <row r="100">
          <cell r="B100">
            <v>94</v>
          </cell>
          <cell r="C100">
            <v>0</v>
          </cell>
          <cell r="D100" t="str">
            <v>Car</v>
          </cell>
          <cell r="E100" t="str">
            <v>ОСП0007525</v>
          </cell>
          <cell r="F100">
            <v>86451519309</v>
          </cell>
          <cell r="G100"/>
          <cell r="H100" t="str">
            <v>Кабина лифта RRLD 1000кг., SS SC, RO</v>
          </cell>
          <cell r="I100" t="str">
            <v>AY Car RRL 1000-D, SS, SC, R (old type)</v>
          </cell>
          <cell r="J100" t="str">
            <v>компл</v>
          </cell>
          <cell r="K100">
            <v>9</v>
          </cell>
          <cell r="L100"/>
          <cell r="M100" t="str">
            <v>Order</v>
          </cell>
          <cell r="N100" t="str">
            <v>Turkey</v>
          </cell>
          <cell r="O100"/>
          <cell r="P100"/>
          <cell r="Q100"/>
          <cell r="R100"/>
        </row>
        <row r="101">
          <cell r="B101">
            <v>95</v>
          </cell>
          <cell r="C101">
            <v>0</v>
          </cell>
          <cell r="D101" t="str">
            <v>Car</v>
          </cell>
          <cell r="E101" t="str">
            <v>ОСП0008003</v>
          </cell>
          <cell r="F101">
            <v>86451519404</v>
          </cell>
          <cell r="G101"/>
          <cell r="H101" t="str">
            <v>Кабина лифта RRLD 1000кг., SS -Y-2CO800 _16</v>
          </cell>
          <cell r="I101" t="str">
            <v>RRL1000D-SS -Y-2CO800 _16</v>
          </cell>
          <cell r="J101" t="str">
            <v>компл</v>
          </cell>
          <cell r="K101">
            <v>9</v>
          </cell>
          <cell r="L101"/>
          <cell r="M101" t="str">
            <v>Order</v>
          </cell>
          <cell r="N101" t="str">
            <v>Turkey</v>
          </cell>
          <cell r="O101"/>
          <cell r="P101"/>
          <cell r="Q101"/>
          <cell r="R101"/>
        </row>
        <row r="102">
          <cell r="B102">
            <v>96</v>
          </cell>
          <cell r="C102">
            <v>0</v>
          </cell>
          <cell r="D102" t="str">
            <v>Car</v>
          </cell>
          <cell r="E102" t="str">
            <v>ОСП0008007</v>
          </cell>
          <cell r="F102">
            <v>86451519408</v>
          </cell>
          <cell r="G102"/>
          <cell r="H102" t="str">
            <v>Кабина лифта RRLD 1000кг., SS -Y-FF-2CO800 _16</v>
          </cell>
          <cell r="I102" t="str">
            <v>RRL1000D-SS -Y-FF-2CO800 _16</v>
          </cell>
          <cell r="J102" t="str">
            <v>компл</v>
          </cell>
          <cell r="K102">
            <v>9</v>
          </cell>
          <cell r="L102"/>
          <cell r="M102" t="str">
            <v>Order</v>
          </cell>
          <cell r="N102" t="str">
            <v>Turkey</v>
          </cell>
          <cell r="O102"/>
          <cell r="P102"/>
          <cell r="Q102"/>
          <cell r="R102"/>
        </row>
        <row r="103">
          <cell r="B103">
            <v>97</v>
          </cell>
          <cell r="C103">
            <v>0</v>
          </cell>
          <cell r="D103" t="str">
            <v>Car</v>
          </cell>
          <cell r="E103" t="str">
            <v>ОСП0006801</v>
          </cell>
          <cell r="F103">
            <v>86451519212</v>
          </cell>
          <cell r="G103"/>
          <cell r="H103" t="str">
            <v>Кабина лифта RRLW 1000кг.,FFSS SC, LO</v>
          </cell>
          <cell r="I103" t="str">
            <v>AY Car RRL 1000, FFSS, SC, L (old type)</v>
          </cell>
          <cell r="J103" t="str">
            <v>компл</v>
          </cell>
          <cell r="K103">
            <v>9</v>
          </cell>
          <cell r="L103"/>
          <cell r="M103" t="str">
            <v>Order</v>
          </cell>
          <cell r="N103" t="str">
            <v>Turkey</v>
          </cell>
          <cell r="O103"/>
          <cell r="P103"/>
          <cell r="Q103"/>
          <cell r="R103"/>
        </row>
        <row r="104">
          <cell r="B104">
            <v>98</v>
          </cell>
          <cell r="C104">
            <v>0</v>
          </cell>
          <cell r="D104" t="str">
            <v>Car</v>
          </cell>
          <cell r="E104" t="str">
            <v>ОСП0006795</v>
          </cell>
          <cell r="F104">
            <v>86451519206</v>
          </cell>
          <cell r="G104"/>
          <cell r="H104" t="str">
            <v>Кабина лифта RRLW 1000кг.,FFSS SC, RO</v>
          </cell>
          <cell r="I104" t="str">
            <v>AY Car RRL 1000, FFSS,SC,  R (old type)</v>
          </cell>
          <cell r="J104" t="str">
            <v>компл</v>
          </cell>
          <cell r="K104">
            <v>9</v>
          </cell>
          <cell r="L104"/>
          <cell r="M104" t="str">
            <v>Order</v>
          </cell>
          <cell r="N104" t="str">
            <v>Turkey</v>
          </cell>
          <cell r="O104"/>
          <cell r="P104"/>
          <cell r="Q104"/>
          <cell r="R104"/>
        </row>
        <row r="105">
          <cell r="B105">
            <v>99</v>
          </cell>
          <cell r="C105">
            <v>0</v>
          </cell>
          <cell r="D105" t="str">
            <v>Car</v>
          </cell>
          <cell r="E105" t="str">
            <v>ОСП0006797</v>
          </cell>
          <cell r="F105">
            <v>86451519207</v>
          </cell>
          <cell r="G105"/>
          <cell r="H105" t="str">
            <v>Кабина лифта RRLW 1000кг.,SS SC, LO</v>
          </cell>
          <cell r="I105" t="str">
            <v>AY Car RRL 1000, SS, SC, L (old type)</v>
          </cell>
          <cell r="J105" t="str">
            <v>компл</v>
          </cell>
          <cell r="K105">
            <v>9</v>
          </cell>
          <cell r="L105"/>
          <cell r="M105" t="str">
            <v>Order</v>
          </cell>
          <cell r="N105" t="str">
            <v>Turkey</v>
          </cell>
          <cell r="O105"/>
          <cell r="P105"/>
          <cell r="Q105"/>
          <cell r="R105"/>
        </row>
        <row r="106">
          <cell r="B106">
            <v>100</v>
          </cell>
          <cell r="C106">
            <v>0</v>
          </cell>
          <cell r="D106" t="str">
            <v>Car</v>
          </cell>
          <cell r="E106" t="str">
            <v>ОСП0006794</v>
          </cell>
          <cell r="F106">
            <v>86451519205</v>
          </cell>
          <cell r="G106"/>
          <cell r="H106" t="str">
            <v>Кабина лифта RRLW 1000кг.,SS SC, RO</v>
          </cell>
          <cell r="I106" t="str">
            <v>AY Car RRL 1000, SS, SC, R (old type)</v>
          </cell>
          <cell r="J106" t="str">
            <v>компл</v>
          </cell>
          <cell r="K106">
            <v>9</v>
          </cell>
          <cell r="L106"/>
          <cell r="M106" t="str">
            <v>Order</v>
          </cell>
          <cell r="N106" t="str">
            <v>Turkey</v>
          </cell>
          <cell r="O106"/>
          <cell r="P106"/>
          <cell r="Q106"/>
          <cell r="R106"/>
        </row>
        <row r="107">
          <cell r="B107">
            <v>101</v>
          </cell>
          <cell r="C107">
            <v>0</v>
          </cell>
          <cell r="D107" t="str">
            <v>Car</v>
          </cell>
          <cell r="E107" t="str">
            <v>ОСП0007863</v>
          </cell>
          <cell r="F107">
            <v>86451519313</v>
          </cell>
          <cell r="G107"/>
          <cell r="H107" t="str">
            <v>Кабина лифта RRLW, STD, 1000кг., SS, LO</v>
          </cell>
          <cell r="I107" t="str">
            <v>AY RRL 1000 W, SS, L, with telescopic door in the center (SentralTelescopicDoor)</v>
          </cell>
          <cell r="J107" t="str">
            <v>компл</v>
          </cell>
          <cell r="K107">
            <v>9</v>
          </cell>
          <cell r="L107"/>
          <cell r="M107" t="str">
            <v>Order</v>
          </cell>
          <cell r="N107" t="str">
            <v>Turkey</v>
          </cell>
          <cell r="O107"/>
          <cell r="P107"/>
          <cell r="Q107"/>
          <cell r="R107"/>
        </row>
        <row r="108">
          <cell r="B108">
            <v>102</v>
          </cell>
          <cell r="C108">
            <v>0</v>
          </cell>
          <cell r="D108" t="str">
            <v>Car</v>
          </cell>
          <cell r="E108" t="str">
            <v>ОСП0009511</v>
          </cell>
          <cell r="F108">
            <v>86451519501</v>
          </cell>
          <cell r="G108"/>
          <cell r="H108" t="str">
            <v>Каменный пол Nero Zimbabve 400 кг</v>
          </cell>
          <cell r="I108" t="str">
            <v>Granite froor-Y-AddOn-RRL400</v>
          </cell>
          <cell r="J108" t="str">
            <v>компл</v>
          </cell>
          <cell r="K108">
            <v>9</v>
          </cell>
          <cell r="L108"/>
          <cell r="M108" t="str">
            <v>Order</v>
          </cell>
          <cell r="N108" t="str">
            <v>Turkey</v>
          </cell>
          <cell r="O108"/>
          <cell r="P108"/>
          <cell r="Q108"/>
          <cell r="R108"/>
        </row>
        <row r="109">
          <cell r="B109">
            <v>103</v>
          </cell>
          <cell r="C109">
            <v>0</v>
          </cell>
          <cell r="D109" t="str">
            <v>Car</v>
          </cell>
          <cell r="E109" t="str">
            <v>ОСП0009053</v>
          </cell>
          <cell r="F109">
            <v>46404201012</v>
          </cell>
          <cell r="G109" t="str">
            <v>30404201012</v>
          </cell>
          <cell r="H109" t="str">
            <v>Кожух панели приказов</v>
          </cell>
          <cell r="I109" t="str">
            <v>COP back box</v>
          </cell>
          <cell r="J109" t="str">
            <v>шт</v>
          </cell>
          <cell r="K109"/>
          <cell r="L109"/>
          <cell r="M109" t="str">
            <v>Order</v>
          </cell>
          <cell r="N109" t="str">
            <v>Russia</v>
          </cell>
          <cell r="O109"/>
          <cell r="P109"/>
          <cell r="Q109"/>
          <cell r="R109"/>
        </row>
        <row r="110">
          <cell r="B110">
            <v>104</v>
          </cell>
          <cell r="C110">
            <v>0</v>
          </cell>
          <cell r="D110" t="str">
            <v>Car</v>
          </cell>
          <cell r="E110" t="str">
            <v>ОСП0008945</v>
          </cell>
          <cell r="F110">
            <v>46451514045</v>
          </cell>
          <cell r="G110" t="str">
            <v>61670000019</v>
          </cell>
          <cell r="H110" t="str">
            <v>Кронштейн датчика крепления канатов на кабине 400kg, 1000kg /1/1,6 - NC</v>
          </cell>
          <cell r="I110" t="str">
            <v>Counter plate sensor / Gegenblech</v>
          </cell>
          <cell r="J110" t="str">
            <v>шт</v>
          </cell>
          <cell r="K110"/>
          <cell r="L110"/>
          <cell r="M110" t="str">
            <v>Order</v>
          </cell>
          <cell r="N110" t="str">
            <v>Russia</v>
          </cell>
          <cell r="O110"/>
          <cell r="P110"/>
          <cell r="Q110"/>
          <cell r="R110"/>
        </row>
        <row r="111">
          <cell r="B111">
            <v>105</v>
          </cell>
          <cell r="C111">
            <v>0</v>
          </cell>
          <cell r="D111" t="str">
            <v>Car</v>
          </cell>
          <cell r="E111" t="str">
            <v>ОСП0008946</v>
          </cell>
          <cell r="F111">
            <v>46451514044</v>
          </cell>
          <cell r="G111" t="str">
            <v>61670000018</v>
          </cell>
          <cell r="H111" t="str">
            <v>Кронштейн угловой крепления канатов на кабине 400kg, 1000kg /1/1,6 - NC</v>
          </cell>
          <cell r="I111" t="str">
            <v>Mounting elbow / Befestigungswinkel</v>
          </cell>
          <cell r="J111" t="str">
            <v>шт</v>
          </cell>
          <cell r="K111"/>
          <cell r="L111"/>
          <cell r="M111" t="str">
            <v>Order</v>
          </cell>
          <cell r="N111" t="str">
            <v>Russia</v>
          </cell>
          <cell r="O111"/>
          <cell r="P111"/>
          <cell r="Q111"/>
          <cell r="R111"/>
        </row>
        <row r="112">
          <cell r="B112">
            <v>106</v>
          </cell>
          <cell r="C112">
            <v>0</v>
          </cell>
          <cell r="D112" t="str">
            <v>Car</v>
          </cell>
          <cell r="E112" t="str">
            <v>ОСП0008944</v>
          </cell>
          <cell r="F112">
            <v>46451514043</v>
          </cell>
          <cell r="G112" t="str">
            <v>6167S002000</v>
          </cell>
          <cell r="H112" t="str">
            <v>Пластина крепления канатов на кабине 400kg, 1000kg /1/1,6 - NC</v>
          </cell>
          <cell r="I112" t="str">
            <v>sensor fixing plate / Schalterbefestigungsblech</v>
          </cell>
          <cell r="J112" t="str">
            <v>шт</v>
          </cell>
          <cell r="K112"/>
          <cell r="L112"/>
          <cell r="M112" t="str">
            <v>Order</v>
          </cell>
          <cell r="N112" t="str">
            <v>Russia</v>
          </cell>
          <cell r="O112"/>
          <cell r="P112"/>
          <cell r="Q112"/>
          <cell r="R112"/>
        </row>
        <row r="113">
          <cell r="B113">
            <v>107</v>
          </cell>
          <cell r="C113">
            <v>0</v>
          </cell>
          <cell r="D113" t="str">
            <v>Car</v>
          </cell>
          <cell r="E113" t="str">
            <v>ОСП0006953</v>
          </cell>
          <cell r="F113">
            <v>46451514040</v>
          </cell>
          <cell r="G113" t="str">
            <v>61670000150-01</v>
          </cell>
          <cell r="H113" t="str">
            <v>Плита крепления канатов на кабине (MCI)</v>
          </cell>
          <cell r="I113" t="str">
            <v>AY Car Rope suspension plate incl. Accs for Load sensor (MCI)</v>
          </cell>
          <cell r="J113" t="str">
            <v>шт</v>
          </cell>
          <cell r="K113"/>
          <cell r="L113"/>
          <cell r="M113" t="str">
            <v>Order</v>
          </cell>
          <cell r="N113" t="str">
            <v>Russia</v>
          </cell>
          <cell r="O113"/>
          <cell r="P113"/>
          <cell r="Q113"/>
          <cell r="R113"/>
        </row>
        <row r="114">
          <cell r="B114">
            <v>108</v>
          </cell>
          <cell r="C114">
            <v>0</v>
          </cell>
          <cell r="D114" t="str">
            <v>Car</v>
          </cell>
          <cell r="E114" t="str">
            <v>ОСП0008905</v>
          </cell>
          <cell r="F114">
            <v>46451514042</v>
          </cell>
          <cell r="G114" t="str">
            <v>61670003150</v>
          </cell>
          <cell r="H114" t="str">
            <v>Плита крепления канатов на кабине 400kg, 1000kg /1/1,6 - NC</v>
          </cell>
          <cell r="I114" t="str">
            <v>hitch plate / Seilaufhaengeplatte</v>
          </cell>
          <cell r="J114" t="str">
            <v>шт</v>
          </cell>
          <cell r="K114"/>
          <cell r="L114"/>
          <cell r="M114" t="str">
            <v>Order</v>
          </cell>
          <cell r="N114" t="str">
            <v>Russia</v>
          </cell>
          <cell r="O114"/>
          <cell r="P114"/>
          <cell r="Q114"/>
          <cell r="R114"/>
        </row>
        <row r="115">
          <cell r="B115">
            <v>109</v>
          </cell>
          <cell r="C115">
            <v>0</v>
          </cell>
          <cell r="D115" t="str">
            <v>Car</v>
          </cell>
          <cell r="E115" t="str">
            <v>ОСП0007878</v>
          </cell>
          <cell r="F115">
            <v>46451514041</v>
          </cell>
          <cell r="G115" t="str">
            <v>см комментарии</v>
          </cell>
          <cell r="H115" t="str">
            <v>Плита с кронштейнами крепления канатов на кабине (TCM)</v>
          </cell>
          <cell r="I115" t="str">
            <v>AY Car Rope suspension plate incl. Accs for Load sensor (TCM)</v>
          </cell>
          <cell r="J115" t="str">
            <v>компл</v>
          </cell>
          <cell r="K115"/>
          <cell r="L115"/>
          <cell r="M115" t="str">
            <v>Order</v>
          </cell>
          <cell r="N115" t="str">
            <v>Russia</v>
          </cell>
          <cell r="O115"/>
          <cell r="P115"/>
          <cell r="Q115"/>
          <cell r="R115"/>
        </row>
        <row r="116">
          <cell r="B116">
            <v>110</v>
          </cell>
          <cell r="C116">
            <v>0</v>
          </cell>
          <cell r="D116" t="str">
            <v>Car</v>
          </cell>
          <cell r="E116" t="str">
            <v>ОСП0008723</v>
          </cell>
          <cell r="F116">
            <v>46451519326</v>
          </cell>
          <cell r="G116"/>
          <cell r="H116" t="str">
            <v>Покрытие пола 1099 x 2099 Acczent mineral 100003</v>
          </cell>
          <cell r="I116" t="str">
            <v>Flooring 1099 x 2099 Acczent mineral 100003</v>
          </cell>
          <cell r="J116" t="str">
            <v>шт</v>
          </cell>
          <cell r="K116">
            <v>9</v>
          </cell>
          <cell r="L116"/>
          <cell r="M116" t="str">
            <v>Stock</v>
          </cell>
          <cell r="N116" t="str">
            <v>Russia</v>
          </cell>
          <cell r="O116"/>
          <cell r="P116"/>
          <cell r="Q116"/>
          <cell r="R116"/>
        </row>
        <row r="117">
          <cell r="B117">
            <v>111</v>
          </cell>
          <cell r="C117">
            <v>0</v>
          </cell>
          <cell r="D117" t="str">
            <v>Car</v>
          </cell>
          <cell r="E117" t="str">
            <v>ОСП0007057</v>
          </cell>
          <cell r="F117">
            <v>46451519325</v>
          </cell>
          <cell r="G117"/>
          <cell r="H117" t="str">
            <v>Покрытие пола 1099 x 2099 BE 512</v>
          </cell>
          <cell r="I117" t="str">
            <v>Flooring 1099 x 2099 BE 512</v>
          </cell>
          <cell r="J117" t="str">
            <v>шт</v>
          </cell>
          <cell r="K117">
            <v>9</v>
          </cell>
          <cell r="L117"/>
          <cell r="M117" t="str">
            <v>Stock</v>
          </cell>
          <cell r="N117" t="str">
            <v>Russia</v>
          </cell>
          <cell r="O117"/>
          <cell r="P117"/>
          <cell r="Q117"/>
          <cell r="R117" t="str">
            <v>1 pcs. for 630 kg and 1000 kg</v>
          </cell>
        </row>
        <row r="118">
          <cell r="B118">
            <v>112</v>
          </cell>
          <cell r="C118">
            <v>0</v>
          </cell>
          <cell r="D118" t="str">
            <v>Car</v>
          </cell>
          <cell r="E118" t="str">
            <v>ОСП0007056</v>
          </cell>
          <cell r="F118">
            <v>46451519324</v>
          </cell>
          <cell r="G118"/>
          <cell r="H118" t="str">
            <v>Покрытие пола 1099 x 2099 BE 514</v>
          </cell>
          <cell r="I118" t="str">
            <v>Flooring 1099 x 2099 BE 514</v>
          </cell>
          <cell r="J118" t="str">
            <v>шт</v>
          </cell>
          <cell r="K118">
            <v>9</v>
          </cell>
          <cell r="L118"/>
          <cell r="M118" t="str">
            <v>Stock</v>
          </cell>
          <cell r="N118" t="str">
            <v>Russia</v>
          </cell>
          <cell r="O118"/>
          <cell r="P118"/>
          <cell r="Q118"/>
          <cell r="R118"/>
        </row>
        <row r="119">
          <cell r="B119">
            <v>113</v>
          </cell>
          <cell r="C119">
            <v>0</v>
          </cell>
          <cell r="D119" t="str">
            <v>Car</v>
          </cell>
          <cell r="E119" t="str">
            <v>ОСП0007054</v>
          </cell>
          <cell r="F119">
            <v>46451519322</v>
          </cell>
          <cell r="G119"/>
          <cell r="H119" t="str">
            <v>Покрытие пола 1099 x 2099 Primo Plus 93304</v>
          </cell>
          <cell r="I119" t="str">
            <v>Flooring 1099 x 2099 Primo Plus 93304</v>
          </cell>
          <cell r="J119" t="str">
            <v>шт</v>
          </cell>
          <cell r="K119">
            <v>9</v>
          </cell>
          <cell r="L119"/>
          <cell r="M119" t="str">
            <v>Stock</v>
          </cell>
          <cell r="N119" t="str">
            <v>Russia</v>
          </cell>
          <cell r="O119"/>
          <cell r="P119"/>
          <cell r="Q119"/>
          <cell r="R119"/>
        </row>
        <row r="120">
          <cell r="B120">
            <v>114</v>
          </cell>
          <cell r="C120">
            <v>0</v>
          </cell>
          <cell r="D120" t="str">
            <v>Car</v>
          </cell>
          <cell r="E120" t="str">
            <v>ОСП0007052</v>
          </cell>
          <cell r="F120">
            <v>46451519320</v>
          </cell>
          <cell r="G120"/>
          <cell r="H120" t="str">
            <v>Покрытие пола 1099 x 2099 Primo Plus 93305</v>
          </cell>
          <cell r="I120" t="str">
            <v>Flooring 1099 x 2099 Primo Plus 93305</v>
          </cell>
          <cell r="J120" t="str">
            <v>шт</v>
          </cell>
          <cell r="K120">
            <v>9</v>
          </cell>
          <cell r="L120"/>
          <cell r="M120" t="str">
            <v>Stock</v>
          </cell>
          <cell r="N120" t="str">
            <v>Russia</v>
          </cell>
          <cell r="O120"/>
          <cell r="P120"/>
          <cell r="Q120"/>
          <cell r="R120"/>
        </row>
        <row r="121">
          <cell r="B121">
            <v>115</v>
          </cell>
          <cell r="C121">
            <v>0</v>
          </cell>
          <cell r="D121" t="str">
            <v>Car</v>
          </cell>
          <cell r="E121" t="str">
            <v>ОСП0007053</v>
          </cell>
          <cell r="F121">
            <v>46451519321</v>
          </cell>
          <cell r="G121"/>
          <cell r="H121" t="str">
            <v>Покрытие пола 1099 x 2099 Primo Plus 93310</v>
          </cell>
          <cell r="I121" t="str">
            <v>Flooring 1099 x 2099 Primo Plus 93310</v>
          </cell>
          <cell r="J121" t="str">
            <v>шт</v>
          </cell>
          <cell r="K121">
            <v>9</v>
          </cell>
          <cell r="L121"/>
          <cell r="M121" t="str">
            <v>Stock</v>
          </cell>
          <cell r="N121" t="str">
            <v>Russia</v>
          </cell>
          <cell r="O121"/>
          <cell r="P121"/>
          <cell r="Q121"/>
          <cell r="R121"/>
        </row>
        <row r="122">
          <cell r="B122">
            <v>116</v>
          </cell>
          <cell r="C122">
            <v>0</v>
          </cell>
          <cell r="D122" t="str">
            <v>Car</v>
          </cell>
          <cell r="E122" t="str">
            <v>ОСП0007055</v>
          </cell>
          <cell r="F122">
            <v>46451519323</v>
          </cell>
          <cell r="G122"/>
          <cell r="H122" t="str">
            <v>Покрытие пола 1099 x 2099 Primo Plus 93315</v>
          </cell>
          <cell r="I122" t="str">
            <v>Flooring 1099 x 2099 Primo Plus 93315</v>
          </cell>
          <cell r="J122" t="str">
            <v>шт</v>
          </cell>
          <cell r="K122">
            <v>9</v>
          </cell>
          <cell r="L122"/>
          <cell r="M122" t="str">
            <v>Stock</v>
          </cell>
          <cell r="N122" t="str">
            <v>Russia</v>
          </cell>
          <cell r="O122"/>
          <cell r="P122"/>
          <cell r="Q122"/>
          <cell r="R122"/>
        </row>
        <row r="123">
          <cell r="B123">
            <v>117</v>
          </cell>
          <cell r="C123">
            <v>0</v>
          </cell>
          <cell r="D123" t="str">
            <v>Car</v>
          </cell>
          <cell r="E123" t="str">
            <v>ОСП0007051</v>
          </cell>
          <cell r="F123">
            <v>46451519315</v>
          </cell>
          <cell r="G123"/>
          <cell r="H123" t="str">
            <v>Покрытие пола 1099 х 999 BE 512</v>
          </cell>
          <cell r="I123" t="str">
            <v>Flooring 1099 х 999 BE 512</v>
          </cell>
          <cell r="J123" t="str">
            <v>шт</v>
          </cell>
          <cell r="K123">
            <v>9</v>
          </cell>
          <cell r="L123"/>
          <cell r="M123" t="str">
            <v>Stock</v>
          </cell>
          <cell r="N123" t="str">
            <v>Russia</v>
          </cell>
          <cell r="O123"/>
          <cell r="P123"/>
          <cell r="Q123"/>
          <cell r="R123" t="str">
            <v>1 pcs. for 400 kg</v>
          </cell>
        </row>
        <row r="124">
          <cell r="B124">
            <v>118</v>
          </cell>
          <cell r="C124">
            <v>0</v>
          </cell>
          <cell r="D124" t="str">
            <v>Car</v>
          </cell>
          <cell r="E124" t="str">
            <v>ОСП0007050</v>
          </cell>
          <cell r="F124">
            <v>46451519314</v>
          </cell>
          <cell r="G124"/>
          <cell r="H124" t="str">
            <v>Покрытие пола 1099 х 999 BE 514</v>
          </cell>
          <cell r="I124" t="str">
            <v>Flooring 1099 х 999 BE 514</v>
          </cell>
          <cell r="J124" t="str">
            <v>шт</v>
          </cell>
          <cell r="K124">
            <v>9</v>
          </cell>
          <cell r="L124"/>
          <cell r="M124" t="str">
            <v>Stock</v>
          </cell>
          <cell r="N124" t="str">
            <v>Russia</v>
          </cell>
          <cell r="O124"/>
          <cell r="P124"/>
          <cell r="Q124"/>
          <cell r="R124"/>
        </row>
        <row r="125">
          <cell r="B125">
            <v>119</v>
          </cell>
          <cell r="C125">
            <v>0</v>
          </cell>
          <cell r="D125" t="str">
            <v>Car</v>
          </cell>
          <cell r="E125" t="str">
            <v>ОСП0007048</v>
          </cell>
          <cell r="F125">
            <v>46451519312</v>
          </cell>
          <cell r="G125"/>
          <cell r="H125" t="str">
            <v>Покрытие пола 1099 х 999 Primo Plus 93304</v>
          </cell>
          <cell r="I125" t="str">
            <v>Flooring 1099 х 999 Primo Plus 93304</v>
          </cell>
          <cell r="J125" t="str">
            <v>шт</v>
          </cell>
          <cell r="K125">
            <v>9</v>
          </cell>
          <cell r="L125"/>
          <cell r="M125" t="str">
            <v>Stock</v>
          </cell>
          <cell r="N125" t="str">
            <v>Russia</v>
          </cell>
          <cell r="O125"/>
          <cell r="P125"/>
          <cell r="Q125"/>
          <cell r="R125"/>
        </row>
        <row r="126">
          <cell r="B126">
            <v>120</v>
          </cell>
          <cell r="C126">
            <v>0</v>
          </cell>
          <cell r="D126" t="str">
            <v>Car</v>
          </cell>
          <cell r="E126" t="str">
            <v>ОСП0007046</v>
          </cell>
          <cell r="F126">
            <v>46451519310</v>
          </cell>
          <cell r="G126"/>
          <cell r="H126" t="str">
            <v>Покрытие пола 1099 х 999 Primo Plus 93305</v>
          </cell>
          <cell r="I126" t="str">
            <v>Flooring 1099 х 999 Primo Plus 93305</v>
          </cell>
          <cell r="J126" t="str">
            <v>шт</v>
          </cell>
          <cell r="K126">
            <v>9</v>
          </cell>
          <cell r="L126"/>
          <cell r="M126" t="str">
            <v>Stock</v>
          </cell>
          <cell r="N126" t="str">
            <v>Russia</v>
          </cell>
          <cell r="O126"/>
          <cell r="P126"/>
          <cell r="Q126"/>
          <cell r="R126"/>
        </row>
        <row r="127">
          <cell r="B127">
            <v>121</v>
          </cell>
          <cell r="C127">
            <v>0</v>
          </cell>
          <cell r="D127" t="str">
            <v>Car</v>
          </cell>
          <cell r="E127" t="str">
            <v>ОСП0007047</v>
          </cell>
          <cell r="F127">
            <v>46451519311</v>
          </cell>
          <cell r="G127"/>
          <cell r="H127" t="str">
            <v>Покрытие пола 1099 х 999 Primo Plus 93310</v>
          </cell>
          <cell r="I127" t="str">
            <v>Flooring 1099 х 999 Primo Plus 93310</v>
          </cell>
          <cell r="J127" t="str">
            <v>шт</v>
          </cell>
          <cell r="K127">
            <v>9</v>
          </cell>
          <cell r="L127"/>
          <cell r="M127" t="str">
            <v>Stock</v>
          </cell>
          <cell r="N127" t="str">
            <v>Russia</v>
          </cell>
          <cell r="O127"/>
          <cell r="P127"/>
          <cell r="Q127"/>
          <cell r="R127"/>
        </row>
        <row r="128">
          <cell r="B128">
            <v>122</v>
          </cell>
          <cell r="C128">
            <v>0</v>
          </cell>
          <cell r="D128" t="str">
            <v>Car</v>
          </cell>
          <cell r="E128" t="str">
            <v>ОСП0007049</v>
          </cell>
          <cell r="F128">
            <v>46451519313</v>
          </cell>
          <cell r="G128"/>
          <cell r="H128" t="str">
            <v>Покрытие пола 1099 х 999 Primo Plus 93315</v>
          </cell>
          <cell r="I128" t="str">
            <v>Flooring 1099 х 999 Primo Plus 93315</v>
          </cell>
          <cell r="J128" t="str">
            <v>шт</v>
          </cell>
          <cell r="K128">
            <v>9</v>
          </cell>
          <cell r="L128"/>
          <cell r="M128" t="str">
            <v>Stock</v>
          </cell>
          <cell r="N128" t="str">
            <v>Russia</v>
          </cell>
          <cell r="O128"/>
          <cell r="P128"/>
          <cell r="Q128"/>
          <cell r="R128"/>
        </row>
        <row r="129">
          <cell r="B129">
            <v>123</v>
          </cell>
          <cell r="C129">
            <v>0</v>
          </cell>
          <cell r="D129" t="str">
            <v>Car</v>
          </cell>
          <cell r="E129" t="str">
            <v>ОСП0009922</v>
          </cell>
          <cell r="F129">
            <v>60620009527</v>
          </cell>
          <cell r="G129"/>
          <cell r="H129" t="str">
            <v>Пол кабины P3000</v>
          </cell>
          <cell r="I129" t="str">
            <v>Car floor P3000</v>
          </cell>
          <cell r="J129" t="str">
            <v>шт</v>
          </cell>
          <cell r="K129"/>
          <cell r="L129"/>
          <cell r="M129"/>
          <cell r="N129"/>
          <cell r="O129"/>
          <cell r="P129"/>
          <cell r="Q129"/>
          <cell r="R129"/>
        </row>
        <row r="130">
          <cell r="B130">
            <v>124</v>
          </cell>
          <cell r="C130">
            <v>0</v>
          </cell>
          <cell r="D130" t="str">
            <v>Car</v>
          </cell>
          <cell r="E130" t="str">
            <v>ОСП0008698</v>
          </cell>
          <cell r="F130">
            <v>86451519237</v>
          </cell>
          <cell r="G130"/>
          <cell r="H130" t="str">
            <v>Потолок кабины SC-Y-AddOn-RRL1000D</v>
          </cell>
          <cell r="I130" t="str">
            <v>SC-Y-AddOn-RRL1000D</v>
          </cell>
          <cell r="J130" t="str">
            <v>компл</v>
          </cell>
          <cell r="K130">
            <v>9</v>
          </cell>
          <cell r="L130"/>
          <cell r="M130" t="str">
            <v>Order</v>
          </cell>
          <cell r="N130" t="str">
            <v>Turkey</v>
          </cell>
          <cell r="O130"/>
          <cell r="P130"/>
          <cell r="Q130"/>
          <cell r="R130"/>
        </row>
        <row r="131">
          <cell r="B131">
            <v>125</v>
          </cell>
          <cell r="C131">
            <v>0</v>
          </cell>
          <cell r="D131" t="str">
            <v>Car</v>
          </cell>
          <cell r="E131" t="str">
            <v>ОСП0008700</v>
          </cell>
          <cell r="F131">
            <v>86451519239</v>
          </cell>
          <cell r="G131"/>
          <cell r="H131" t="str">
            <v>Потолок кабины SC-Y-AddOn-RRL1000D-FF</v>
          </cell>
          <cell r="I131" t="str">
            <v>SC-Y-AddOn-RRL1000D-FF</v>
          </cell>
          <cell r="J131" t="str">
            <v>компл</v>
          </cell>
          <cell r="K131">
            <v>9</v>
          </cell>
          <cell r="L131"/>
          <cell r="M131" t="str">
            <v>Order</v>
          </cell>
          <cell r="N131" t="str">
            <v>Turkey</v>
          </cell>
          <cell r="O131"/>
          <cell r="P131"/>
          <cell r="Q131"/>
          <cell r="R131"/>
        </row>
        <row r="132">
          <cell r="B132">
            <v>126</v>
          </cell>
          <cell r="C132">
            <v>0</v>
          </cell>
          <cell r="D132" t="str">
            <v>Car</v>
          </cell>
          <cell r="E132" t="str">
            <v>ОСП0008699</v>
          </cell>
          <cell r="F132">
            <v>86451519238</v>
          </cell>
          <cell r="G132"/>
          <cell r="H132" t="str">
            <v>Потолок кабины SC-Y-AddOn-RRL1000W</v>
          </cell>
          <cell r="I132" t="str">
            <v>SC-Y-AddOn-RRL1000W</v>
          </cell>
          <cell r="J132" t="str">
            <v>компл</v>
          </cell>
          <cell r="K132">
            <v>9</v>
          </cell>
          <cell r="L132"/>
          <cell r="M132" t="str">
            <v>Order</v>
          </cell>
          <cell r="N132" t="str">
            <v>Turkey</v>
          </cell>
          <cell r="O132"/>
          <cell r="P132"/>
          <cell r="Q132"/>
          <cell r="R132"/>
        </row>
        <row r="133">
          <cell r="B133">
            <v>127</v>
          </cell>
          <cell r="C133">
            <v>0</v>
          </cell>
          <cell r="D133" t="str">
            <v>Car</v>
          </cell>
          <cell r="E133" t="str">
            <v>ОСП0008701</v>
          </cell>
          <cell r="F133">
            <v>86451519240</v>
          </cell>
          <cell r="G133"/>
          <cell r="H133" t="str">
            <v>Потолок кабины SC-Y-AddOn-RRL1000W-FF</v>
          </cell>
          <cell r="I133" t="str">
            <v>SC-Y-AddOn-RRL1000W-FF</v>
          </cell>
          <cell r="J133" t="str">
            <v>компл</v>
          </cell>
          <cell r="K133">
            <v>9</v>
          </cell>
          <cell r="L133"/>
          <cell r="M133" t="str">
            <v>Order</v>
          </cell>
          <cell r="N133" t="str">
            <v>Turkey</v>
          </cell>
          <cell r="O133"/>
          <cell r="P133"/>
          <cell r="Q133"/>
          <cell r="R133"/>
        </row>
        <row r="134">
          <cell r="B134">
            <v>128</v>
          </cell>
          <cell r="C134">
            <v>0</v>
          </cell>
          <cell r="D134" t="str">
            <v>Car</v>
          </cell>
          <cell r="E134" t="str">
            <v>ОСП0008696</v>
          </cell>
          <cell r="F134">
            <v>86451519235</v>
          </cell>
          <cell r="G134"/>
          <cell r="H134" t="str">
            <v>Потолок кабины SC-Y-AddOn-RRL400</v>
          </cell>
          <cell r="I134" t="str">
            <v>SC-Y-AddOn-RRL400</v>
          </cell>
          <cell r="J134" t="str">
            <v>компл</v>
          </cell>
          <cell r="K134">
            <v>9</v>
          </cell>
          <cell r="L134"/>
          <cell r="M134" t="str">
            <v>Order</v>
          </cell>
          <cell r="N134" t="str">
            <v>Turkey</v>
          </cell>
          <cell r="O134"/>
          <cell r="P134"/>
          <cell r="Q134"/>
          <cell r="R134"/>
        </row>
        <row r="135">
          <cell r="B135">
            <v>129</v>
          </cell>
          <cell r="C135">
            <v>0</v>
          </cell>
          <cell r="D135" t="str">
            <v>Car</v>
          </cell>
          <cell r="E135" t="str">
            <v>ОСП0008697</v>
          </cell>
          <cell r="F135">
            <v>86451519236</v>
          </cell>
          <cell r="G135"/>
          <cell r="H135" t="str">
            <v>Потолок кабины SC-Y-AddOn-RRL630</v>
          </cell>
          <cell r="I135" t="str">
            <v>SC-Y-AddOn-RRL630</v>
          </cell>
          <cell r="J135" t="str">
            <v>компл</v>
          </cell>
          <cell r="K135">
            <v>9</v>
          </cell>
          <cell r="L135"/>
          <cell r="M135" t="str">
            <v>Order</v>
          </cell>
          <cell r="N135" t="str">
            <v>Turkey</v>
          </cell>
          <cell r="O135"/>
          <cell r="P135"/>
          <cell r="Q135"/>
          <cell r="R135"/>
        </row>
        <row r="136">
          <cell r="B136">
            <v>130</v>
          </cell>
          <cell r="C136">
            <v>0</v>
          </cell>
          <cell r="D136" t="str">
            <v>Car</v>
          </cell>
          <cell r="E136" t="str">
            <v>ОСП0009921</v>
          </cell>
          <cell r="F136">
            <v>61610005889</v>
          </cell>
          <cell r="G136"/>
          <cell r="H136" t="str">
            <v>Трап аварийный ZWD100 N700x500</v>
          </cell>
          <cell r="I136" t="str">
            <v>Gangway alarm ZWD100 N700x500</v>
          </cell>
          <cell r="J136" t="str">
            <v>шт</v>
          </cell>
          <cell r="K136"/>
          <cell r="L136"/>
          <cell r="M136"/>
          <cell r="N136"/>
          <cell r="O136"/>
          <cell r="P136"/>
          <cell r="Q136"/>
          <cell r="R136"/>
        </row>
        <row r="137">
          <cell r="B137">
            <v>131</v>
          </cell>
          <cell r="C137">
            <v>0</v>
          </cell>
          <cell r="D137" t="str">
            <v>Car</v>
          </cell>
          <cell r="E137" t="str">
            <v>ОСП0009925</v>
          </cell>
          <cell r="F137">
            <v>61610009342</v>
          </cell>
          <cell r="G137"/>
          <cell r="H137" t="str">
            <v>Элемент потолка 3-part Spot</v>
          </cell>
          <cell r="I137" t="str">
            <v>Ceiling part 3-part Spot</v>
          </cell>
          <cell r="J137" t="str">
            <v>шт</v>
          </cell>
          <cell r="K137"/>
          <cell r="L137"/>
          <cell r="M137"/>
          <cell r="N137"/>
          <cell r="O137"/>
          <cell r="P137"/>
          <cell r="Q137"/>
          <cell r="R137"/>
        </row>
        <row r="138">
          <cell r="B138">
            <v>132</v>
          </cell>
          <cell r="C138">
            <v>0</v>
          </cell>
          <cell r="D138" t="str">
            <v>PSG</v>
          </cell>
          <cell r="E138" t="str">
            <v>ОСП0005447</v>
          </cell>
          <cell r="F138">
            <v>90451519010</v>
          </cell>
          <cell r="G138" t="str">
            <v>13813THYSSEN23613</v>
          </cell>
          <cell r="H138" t="str">
            <v>Ловители плавного торможения BSG-25P, k = 9 мм, G-04</v>
          </cell>
          <cell r="I138" t="str">
            <v>Progressive safety gear BSG-25P, k = 9 mm, G-04</v>
          </cell>
          <cell r="J138" t="str">
            <v>компл</v>
          </cell>
          <cell r="K138">
            <v>11</v>
          </cell>
          <cell r="L138"/>
          <cell r="M138" t="str">
            <v>Order</v>
          </cell>
          <cell r="N138" t="str">
            <v>Germany</v>
          </cell>
          <cell r="O138"/>
          <cell r="P138"/>
          <cell r="Q138"/>
          <cell r="R138"/>
        </row>
        <row r="139">
          <cell r="B139">
            <v>133</v>
          </cell>
          <cell r="C139">
            <v>0</v>
          </cell>
          <cell r="D139" t="str">
            <v>PSG</v>
          </cell>
          <cell r="E139" t="str">
            <v>ОСП0008598</v>
          </cell>
          <cell r="F139">
            <v>90451519011</v>
          </cell>
          <cell r="G139"/>
          <cell r="H139" t="str">
            <v>Ловители плавного торможения BSG-25P, k = 9 мм, G-05</v>
          </cell>
          <cell r="I139" t="str">
            <v>Progressive safety gear BSG-25P, k = 9 mm, G-05</v>
          </cell>
          <cell r="J139" t="str">
            <v>компл</v>
          </cell>
          <cell r="K139">
            <v>11</v>
          </cell>
          <cell r="L139"/>
          <cell r="M139" t="str">
            <v>Order</v>
          </cell>
          <cell r="N139" t="str">
            <v>Germany</v>
          </cell>
          <cell r="O139"/>
          <cell r="P139"/>
          <cell r="Q139"/>
          <cell r="R139"/>
        </row>
        <row r="140">
          <cell r="B140">
            <v>134</v>
          </cell>
          <cell r="C140">
            <v>0</v>
          </cell>
          <cell r="D140" t="str">
            <v>PSG</v>
          </cell>
          <cell r="E140" t="str">
            <v>ОСП0009315</v>
          </cell>
          <cell r="F140">
            <v>90451519018</v>
          </cell>
          <cell r="G140"/>
          <cell r="H140" t="str">
            <v>Ловители плавного торможения BSG-25P, k = 9 мм, G-06</v>
          </cell>
          <cell r="I140" t="str">
            <v>Progressive safety gear BSG-25P, k = 9 mm, G-06</v>
          </cell>
          <cell r="J140" t="str">
            <v>компл</v>
          </cell>
          <cell r="K140">
            <v>11</v>
          </cell>
          <cell r="L140"/>
          <cell r="M140" t="str">
            <v>Order</v>
          </cell>
          <cell r="N140" t="str">
            <v>Germany</v>
          </cell>
          <cell r="O140"/>
          <cell r="P140"/>
          <cell r="Q140"/>
          <cell r="R140"/>
        </row>
        <row r="141">
          <cell r="B141">
            <v>135</v>
          </cell>
          <cell r="C141">
            <v>0</v>
          </cell>
          <cell r="D141" t="str">
            <v>PSG</v>
          </cell>
          <cell r="E141" t="str">
            <v>ОСП0009267</v>
          </cell>
          <cell r="F141">
            <v>90451519017</v>
          </cell>
          <cell r="G141"/>
          <cell r="H141" t="str">
            <v>Ловители плавного торможения BSG-25P, k = 9 мм, G-07</v>
          </cell>
          <cell r="I141" t="str">
            <v>Progressive safety gear BSG-25P, k = 9 mm, G-07</v>
          </cell>
          <cell r="J141" t="str">
            <v>компл</v>
          </cell>
          <cell r="K141">
            <v>11</v>
          </cell>
          <cell r="L141"/>
          <cell r="M141" t="str">
            <v>Order</v>
          </cell>
          <cell r="N141" t="str">
            <v>Germany</v>
          </cell>
          <cell r="O141"/>
          <cell r="P141"/>
          <cell r="Q141"/>
          <cell r="R141"/>
        </row>
        <row r="142">
          <cell r="B142">
            <v>136</v>
          </cell>
          <cell r="C142">
            <v>0</v>
          </cell>
          <cell r="D142" t="str">
            <v>PSG</v>
          </cell>
          <cell r="E142" t="str">
            <v>ОСП0005448</v>
          </cell>
          <cell r="F142">
            <v>90451519020</v>
          </cell>
          <cell r="G142"/>
          <cell r="H142" t="str">
            <v>Ловители плавного торможения BSG-25P, k = 16 мм, G-09</v>
          </cell>
          <cell r="I142" t="str">
            <v>Progressive safety gear BSG-25P, k = 16 mm, G-09</v>
          </cell>
          <cell r="J142" t="str">
            <v>компл</v>
          </cell>
          <cell r="K142">
            <v>11</v>
          </cell>
          <cell r="L142"/>
          <cell r="M142" t="str">
            <v>Order</v>
          </cell>
          <cell r="N142" t="str">
            <v>Germany</v>
          </cell>
          <cell r="O142"/>
          <cell r="P142"/>
          <cell r="Q142"/>
          <cell r="R142"/>
        </row>
        <row r="143">
          <cell r="B143">
            <v>137</v>
          </cell>
          <cell r="C143">
            <v>0</v>
          </cell>
          <cell r="D143" t="str">
            <v>PSG</v>
          </cell>
          <cell r="E143" t="str">
            <v>ОСП0008548</v>
          </cell>
          <cell r="F143">
            <v>90451519021</v>
          </cell>
          <cell r="G143"/>
          <cell r="H143" t="str">
            <v>Ловители плавного торможения BSG-25P, k = 16 мм, G-10</v>
          </cell>
          <cell r="I143" t="str">
            <v>Progressive safety gear BSG-25P, k = 16 mm, G-10</v>
          </cell>
          <cell r="J143" t="str">
            <v>компл</v>
          </cell>
          <cell r="K143">
            <v>11</v>
          </cell>
          <cell r="L143"/>
          <cell r="M143" t="str">
            <v>Order</v>
          </cell>
          <cell r="N143" t="str">
            <v>Germany</v>
          </cell>
          <cell r="O143"/>
          <cell r="P143"/>
          <cell r="Q143"/>
          <cell r="R143"/>
        </row>
        <row r="144">
          <cell r="B144">
            <v>138</v>
          </cell>
          <cell r="C144">
            <v>0</v>
          </cell>
          <cell r="D144" t="str">
            <v>OSG system</v>
          </cell>
          <cell r="E144" t="str">
            <v>ОСП0006990</v>
          </cell>
          <cell r="F144">
            <v>80451505011</v>
          </cell>
          <cell r="G144"/>
          <cell r="H144" t="str">
            <v>Кожух ограничителя скорости PFB</v>
          </cell>
          <cell r="I144" t="str">
            <v>OSG PFB cover</v>
          </cell>
          <cell r="J144" t="str">
            <v>шт</v>
          </cell>
          <cell r="K144">
            <v>11</v>
          </cell>
          <cell r="L144"/>
          <cell r="M144" t="str">
            <v>Stock</v>
          </cell>
          <cell r="N144" t="str">
            <v>Italy</v>
          </cell>
          <cell r="O144" t="str">
            <v>PFB</v>
          </cell>
          <cell r="P144"/>
          <cell r="Q144"/>
          <cell r="R144"/>
        </row>
        <row r="145">
          <cell r="B145">
            <v>139</v>
          </cell>
          <cell r="C145">
            <v>0</v>
          </cell>
          <cell r="D145" t="str">
            <v>OSG system</v>
          </cell>
          <cell r="E145" t="str">
            <v>ОСП0006984</v>
          </cell>
          <cell r="F145">
            <v>40451505000</v>
          </cell>
          <cell r="G145" t="str">
            <v>6023082010</v>
          </cell>
          <cell r="H145" t="str">
            <v>Натяжное устройство TKAW 890 N 6023082010</v>
          </cell>
          <cell r="I145" t="str">
            <v>OSG Tension device TKAW 890 N 6023082010</v>
          </cell>
          <cell r="J145" t="str">
            <v>шт</v>
          </cell>
          <cell r="K145"/>
          <cell r="L145"/>
          <cell r="M145" t="str">
            <v>Order</v>
          </cell>
          <cell r="N145" t="str">
            <v>Germany</v>
          </cell>
          <cell r="O145"/>
          <cell r="P145"/>
          <cell r="Q145"/>
          <cell r="R145"/>
        </row>
        <row r="146">
          <cell r="B146">
            <v>140</v>
          </cell>
          <cell r="C146">
            <v>0</v>
          </cell>
          <cell r="D146" t="str">
            <v>OSG system</v>
          </cell>
          <cell r="E146" t="str">
            <v>ОСП0006981</v>
          </cell>
          <cell r="F146">
            <v>80451505012</v>
          </cell>
          <cell r="G146" t="str">
            <v>8025031510</v>
          </cell>
          <cell r="H146" t="str">
            <v>Шкив натяжного устройства PFB, D315 мм</v>
          </cell>
          <cell r="I146" t="str">
            <v>Sheave of PFB tensioning device, D315 mm</v>
          </cell>
          <cell r="J146" t="str">
            <v>шт</v>
          </cell>
          <cell r="K146">
            <v>11</v>
          </cell>
          <cell r="L146"/>
          <cell r="M146" t="str">
            <v>Stock</v>
          </cell>
          <cell r="N146" t="str">
            <v>Italy</v>
          </cell>
          <cell r="O146" t="str">
            <v>PFB</v>
          </cell>
          <cell r="P146"/>
          <cell r="Q146"/>
          <cell r="R146"/>
        </row>
        <row r="147">
          <cell r="B147">
            <v>141</v>
          </cell>
          <cell r="C147">
            <v>0</v>
          </cell>
          <cell r="D147" t="str">
            <v>Counterweight</v>
          </cell>
          <cell r="E147" t="str">
            <v>ОСП0007726</v>
          </cell>
          <cell r="F147">
            <v>46451503010</v>
          </cell>
          <cell r="G147" t="str">
            <v>6175S001000</v>
          </cell>
          <cell r="H147" t="str">
            <v>AY Рама противовеса 900x200x3000, без отв. крепления комп. цепи</v>
          </cell>
          <cell r="I147" t="str">
            <v>AY Counterweight frame 900x200x3000, w/o comp. chain fixation holes</v>
          </cell>
          <cell r="J147" t="str">
            <v>компл</v>
          </cell>
          <cell r="K147"/>
          <cell r="L147"/>
          <cell r="M147" t="str">
            <v>Order</v>
          </cell>
          <cell r="N147" t="str">
            <v>Russia</v>
          </cell>
          <cell r="O147"/>
          <cell r="P147"/>
          <cell r="Q147"/>
          <cell r="R147"/>
        </row>
        <row r="148">
          <cell r="B148">
            <v>142</v>
          </cell>
          <cell r="C148">
            <v>0</v>
          </cell>
          <cell r="D148" t="str">
            <v>Counterweight</v>
          </cell>
          <cell r="E148" t="str">
            <v>ОСП0006954</v>
          </cell>
          <cell r="F148">
            <v>46451503111</v>
          </cell>
          <cell r="G148" t="str">
            <v>6175S006000</v>
          </cell>
          <cell r="H148" t="str">
            <v>Груз противовеса бетон</v>
          </cell>
          <cell r="I148" t="str">
            <v>CW Filler Concret / spare part</v>
          </cell>
          <cell r="J148" t="str">
            <v>шт</v>
          </cell>
          <cell r="K148"/>
          <cell r="L148"/>
          <cell r="M148" t="str">
            <v>Order</v>
          </cell>
          <cell r="N148" t="str">
            <v>Russia</v>
          </cell>
          <cell r="O148"/>
          <cell r="P148"/>
          <cell r="Q148"/>
          <cell r="R148"/>
        </row>
        <row r="149">
          <cell r="B149">
            <v>143</v>
          </cell>
          <cell r="C149">
            <v>0</v>
          </cell>
          <cell r="D149" t="str">
            <v>Counterweight</v>
          </cell>
          <cell r="E149" t="str">
            <v>ОСП0006955</v>
          </cell>
          <cell r="F149">
            <v>46451503112</v>
          </cell>
          <cell r="G149" t="str">
            <v>6175S007000</v>
          </cell>
          <cell r="H149" t="str">
            <v>Груз противовеса стальной</v>
          </cell>
          <cell r="I149" t="str">
            <v>CW Filler Steel  / spare part</v>
          </cell>
          <cell r="J149" t="str">
            <v>шт</v>
          </cell>
          <cell r="K149"/>
          <cell r="L149"/>
          <cell r="M149" t="str">
            <v>Order</v>
          </cell>
          <cell r="N149" t="str">
            <v>Russia</v>
          </cell>
          <cell r="O149"/>
          <cell r="P149"/>
          <cell r="Q149"/>
          <cell r="R149"/>
        </row>
        <row r="150">
          <cell r="B150">
            <v>144</v>
          </cell>
          <cell r="C150">
            <v>0</v>
          </cell>
          <cell r="D150" t="str">
            <v>Counterweight</v>
          </cell>
          <cell r="E150" t="str">
            <v>ОСП0008177</v>
          </cell>
          <cell r="F150">
            <v>46451503027</v>
          </cell>
          <cell r="G150"/>
          <cell r="H150" t="str">
            <v>Комплект грузов RRL 1000 RAL 1,6</v>
          </cell>
          <cell r="I150" t="str">
            <v>AY / HU CW Filler RRL 1000 RAL 1,6</v>
          </cell>
          <cell r="J150" t="str">
            <v>компл</v>
          </cell>
          <cell r="K150"/>
          <cell r="L150"/>
          <cell r="M150" t="str">
            <v>Order</v>
          </cell>
          <cell r="N150" t="str">
            <v>Russia</v>
          </cell>
          <cell r="O150"/>
          <cell r="P150"/>
          <cell r="Q150"/>
          <cell r="R150"/>
        </row>
        <row r="151">
          <cell r="B151">
            <v>145</v>
          </cell>
          <cell r="C151">
            <v>0</v>
          </cell>
          <cell r="D151" t="str">
            <v>Counterweight</v>
          </cell>
          <cell r="E151" t="str">
            <v>ОСП0008175</v>
          </cell>
          <cell r="F151">
            <v>46451503013</v>
          </cell>
          <cell r="G151"/>
          <cell r="H151" t="str">
            <v>Комплект грузов RRL 400 RAL 1,6</v>
          </cell>
          <cell r="I151" t="str">
            <v>AY / HU CW Filler RRL 400 RAL 1,6</v>
          </cell>
          <cell r="J151" t="str">
            <v>компл</v>
          </cell>
          <cell r="K151"/>
          <cell r="L151"/>
          <cell r="M151" t="str">
            <v>Order</v>
          </cell>
          <cell r="N151" t="str">
            <v>Russia</v>
          </cell>
          <cell r="O151"/>
          <cell r="P151"/>
          <cell r="Q151"/>
          <cell r="R151"/>
        </row>
        <row r="152">
          <cell r="B152">
            <v>146</v>
          </cell>
          <cell r="C152">
            <v>0</v>
          </cell>
          <cell r="D152" t="str">
            <v>Counterweight</v>
          </cell>
          <cell r="E152" t="str">
            <v>ОСП0009562</v>
          </cell>
          <cell r="F152">
            <v>46451503072</v>
          </cell>
          <cell r="G152"/>
          <cell r="H152" t="str">
            <v>Комплект грузов RRL 788kg, 33-10</v>
          </cell>
          <cell r="I152" t="str">
            <v>AY-CW-filler-7RRL 788kg, 33-10</v>
          </cell>
          <cell r="J152" t="str">
            <v>компл</v>
          </cell>
          <cell r="K152"/>
          <cell r="L152"/>
          <cell r="M152" t="str">
            <v>Order</v>
          </cell>
          <cell r="N152" t="str">
            <v>Russia</v>
          </cell>
          <cell r="O152"/>
          <cell r="P152"/>
          <cell r="Q152"/>
          <cell r="R152"/>
        </row>
        <row r="153">
          <cell r="B153">
            <v>147</v>
          </cell>
          <cell r="C153">
            <v>0</v>
          </cell>
          <cell r="D153" t="str">
            <v>Counterweight</v>
          </cell>
          <cell r="E153" t="str">
            <v>ОСП0009512</v>
          </cell>
          <cell r="F153">
            <v>46451503053</v>
          </cell>
          <cell r="G153"/>
          <cell r="H153" t="str">
            <v>Комплект грузов RRL 797kg, 36-5</v>
          </cell>
          <cell r="I153" t="str">
            <v>AY-CW-filler-797kg-805x3120mm-36-5</v>
          </cell>
          <cell r="J153" t="str">
            <v>компл</v>
          </cell>
          <cell r="K153"/>
          <cell r="L153"/>
          <cell r="M153" t="str">
            <v>Order</v>
          </cell>
          <cell r="N153" t="str">
            <v>Russia</v>
          </cell>
          <cell r="O153"/>
          <cell r="P153"/>
          <cell r="Q153"/>
          <cell r="R153"/>
        </row>
        <row r="154">
          <cell r="B154">
            <v>148</v>
          </cell>
          <cell r="C154">
            <v>0</v>
          </cell>
          <cell r="D154" t="str">
            <v>Counterweight</v>
          </cell>
          <cell r="E154" t="str">
            <v>ОСП0006958</v>
          </cell>
          <cell r="F154">
            <v>46451503021</v>
          </cell>
          <cell r="G154"/>
          <cell r="H154" t="str">
            <v>Комплект грузов RRL1000</v>
          </cell>
          <cell r="I154" t="str">
            <v>AY / HU CW Filler RRL 1000</v>
          </cell>
          <cell r="J154" t="str">
            <v>компл</v>
          </cell>
          <cell r="K154"/>
          <cell r="L154"/>
          <cell r="M154" t="str">
            <v>Order</v>
          </cell>
          <cell r="N154" t="str">
            <v>Russia</v>
          </cell>
          <cell r="O154"/>
          <cell r="P154"/>
          <cell r="Q154"/>
          <cell r="R154"/>
        </row>
        <row r="155">
          <cell r="B155">
            <v>149</v>
          </cell>
          <cell r="C155">
            <v>0</v>
          </cell>
          <cell r="D155" t="str">
            <v>Counterweight</v>
          </cell>
          <cell r="E155" t="str">
            <v>ОСП0009156</v>
          </cell>
          <cell r="F155">
            <v>46451503070</v>
          </cell>
          <cell r="G155"/>
          <cell r="H155" t="str">
            <v>Комплект грузов RRL1000 для проекта 1905 года</v>
          </cell>
          <cell r="I155" t="str">
            <v>Counterweight fillers kit RRL1000 for the 1905 goda project</v>
          </cell>
          <cell r="J155" t="str">
            <v>компл</v>
          </cell>
          <cell r="K155"/>
          <cell r="L155"/>
          <cell r="M155" t="str">
            <v>Order</v>
          </cell>
          <cell r="N155" t="str">
            <v>Russia</v>
          </cell>
          <cell r="O155"/>
          <cell r="P155"/>
          <cell r="Q155"/>
          <cell r="R155"/>
        </row>
        <row r="156">
          <cell r="B156">
            <v>150</v>
          </cell>
          <cell r="C156">
            <v>0</v>
          </cell>
          <cell r="D156" t="str">
            <v>Counterweight</v>
          </cell>
          <cell r="E156" t="str">
            <v>ОСП0006960</v>
          </cell>
          <cell r="F156">
            <v>46451503023</v>
          </cell>
          <cell r="G156"/>
          <cell r="H156" t="str">
            <v>Комплект грузов RRL1000FF</v>
          </cell>
          <cell r="I156" t="str">
            <v>AY / HU CW Filler RRL 1000FF</v>
          </cell>
          <cell r="J156" t="str">
            <v>компл</v>
          </cell>
          <cell r="K156"/>
          <cell r="L156"/>
          <cell r="M156" t="str">
            <v>Order</v>
          </cell>
          <cell r="N156" t="str">
            <v>Russia</v>
          </cell>
          <cell r="O156"/>
          <cell r="P156"/>
          <cell r="Q156"/>
          <cell r="R156"/>
        </row>
        <row r="157">
          <cell r="B157">
            <v>151</v>
          </cell>
          <cell r="C157">
            <v>0</v>
          </cell>
          <cell r="D157" t="str">
            <v>Counterweight</v>
          </cell>
          <cell r="E157" t="str">
            <v>ОСП0006961</v>
          </cell>
          <cell r="F157">
            <v>46451503024</v>
          </cell>
          <cell r="G157"/>
          <cell r="H157" t="str">
            <v>Комплект грузов RRL1000FFSS</v>
          </cell>
          <cell r="I157" t="str">
            <v>AY / HU CW Filler RRL 1000FFSS</v>
          </cell>
          <cell r="J157" t="str">
            <v>компл</v>
          </cell>
          <cell r="K157"/>
          <cell r="L157"/>
          <cell r="M157" t="str">
            <v>Order</v>
          </cell>
          <cell r="N157" t="str">
            <v>Russia</v>
          </cell>
          <cell r="O157"/>
          <cell r="P157"/>
          <cell r="Q157"/>
          <cell r="R157"/>
        </row>
        <row r="158">
          <cell r="B158">
            <v>152</v>
          </cell>
          <cell r="C158">
            <v>0</v>
          </cell>
          <cell r="D158" t="str">
            <v>Counterweight</v>
          </cell>
          <cell r="E158" t="str">
            <v>ОСП0006959</v>
          </cell>
          <cell r="F158">
            <v>46451503022</v>
          </cell>
          <cell r="G158"/>
          <cell r="H158" t="str">
            <v>Комплект грузов RRL1000SS</v>
          </cell>
          <cell r="I158" t="str">
            <v>AY / HU CW Filler RRL 1000SS</v>
          </cell>
          <cell r="J158" t="str">
            <v>компл</v>
          </cell>
          <cell r="K158"/>
          <cell r="L158"/>
          <cell r="M158" t="str">
            <v>Order</v>
          </cell>
          <cell r="N158" t="str">
            <v>Russia</v>
          </cell>
          <cell r="O158"/>
          <cell r="P158"/>
          <cell r="Q158"/>
          <cell r="R158"/>
        </row>
        <row r="159">
          <cell r="B159">
            <v>153</v>
          </cell>
          <cell r="C159">
            <v>0</v>
          </cell>
          <cell r="D159" t="str">
            <v>Counterweight</v>
          </cell>
          <cell r="E159" t="str">
            <v>ОСП0006956</v>
          </cell>
          <cell r="F159">
            <v>46451503011</v>
          </cell>
          <cell r="G159"/>
          <cell r="H159" t="str">
            <v>Комплект грузов RRL400</v>
          </cell>
          <cell r="I159" t="str">
            <v>AY / HU CW Filler RRL400</v>
          </cell>
          <cell r="J159" t="str">
            <v>компл</v>
          </cell>
          <cell r="K159"/>
          <cell r="L159"/>
          <cell r="M159" t="str">
            <v>Order</v>
          </cell>
          <cell r="N159" t="str">
            <v>Russia</v>
          </cell>
          <cell r="O159"/>
          <cell r="P159"/>
          <cell r="Q159"/>
          <cell r="R159"/>
        </row>
        <row r="160">
          <cell r="B160">
            <v>154</v>
          </cell>
          <cell r="C160">
            <v>0</v>
          </cell>
          <cell r="D160" t="str">
            <v>Counterweight</v>
          </cell>
          <cell r="E160" t="str">
            <v>ОСП0009155</v>
          </cell>
          <cell r="F160">
            <v>46451503069</v>
          </cell>
          <cell r="G160"/>
          <cell r="H160" t="str">
            <v>Комплект грузов RRL400 для проекта 1905 года</v>
          </cell>
          <cell r="I160" t="str">
            <v>Counterweight fillers kit RRL400 for the 1905 goda project</v>
          </cell>
          <cell r="J160" t="str">
            <v>компл</v>
          </cell>
          <cell r="K160"/>
          <cell r="L160"/>
          <cell r="M160" t="str">
            <v>Order</v>
          </cell>
          <cell r="N160" t="str">
            <v>Russia</v>
          </cell>
          <cell r="O160"/>
          <cell r="P160"/>
          <cell r="Q160"/>
          <cell r="R160"/>
        </row>
        <row r="161">
          <cell r="B161">
            <v>155</v>
          </cell>
          <cell r="C161">
            <v>0</v>
          </cell>
          <cell r="D161" t="str">
            <v>Counterweight</v>
          </cell>
          <cell r="E161" t="str">
            <v>ОСП0006957</v>
          </cell>
          <cell r="F161">
            <v>46451503012</v>
          </cell>
          <cell r="G161"/>
          <cell r="H161" t="str">
            <v>Комплект грузов RRL400SS</v>
          </cell>
          <cell r="I161" t="str">
            <v>AY / HU CW Filler RRL400SS</v>
          </cell>
          <cell r="J161" t="str">
            <v>компл</v>
          </cell>
          <cell r="K161"/>
          <cell r="L161"/>
          <cell r="M161" t="str">
            <v>Order</v>
          </cell>
          <cell r="N161" t="str">
            <v>Russia</v>
          </cell>
          <cell r="O161"/>
          <cell r="P161"/>
          <cell r="Q161"/>
          <cell r="R161"/>
        </row>
        <row r="162">
          <cell r="B162">
            <v>156</v>
          </cell>
          <cell r="C162">
            <v>0</v>
          </cell>
          <cell r="D162" t="str">
            <v>Counterweight</v>
          </cell>
          <cell r="E162" t="str">
            <v>ОСП0006962</v>
          </cell>
          <cell r="F162">
            <v>46451503025</v>
          </cell>
          <cell r="G162"/>
          <cell r="H162" t="str">
            <v>Комплект деталей противовеса</v>
          </cell>
          <cell r="I162" t="str">
            <v>AY CW special acessory</v>
          </cell>
          <cell r="J162" t="str">
            <v>компл</v>
          </cell>
          <cell r="K162"/>
          <cell r="L162"/>
          <cell r="M162"/>
          <cell r="N162"/>
          <cell r="O162"/>
          <cell r="P162"/>
          <cell r="Q162"/>
          <cell r="R162" t="str">
            <v>1 x per lift, for CWT (cost relevant part)</v>
          </cell>
        </row>
        <row r="163">
          <cell r="B163">
            <v>157</v>
          </cell>
          <cell r="C163">
            <v>0</v>
          </cell>
          <cell r="D163" t="str">
            <v>Compensation chain</v>
          </cell>
          <cell r="E163" t="str">
            <v>ОСП0007873</v>
          </cell>
          <cell r="F163">
            <v>46451514000</v>
          </cell>
          <cell r="G163" t="str">
            <v>6167S002550</v>
          </cell>
          <cell r="H163" t="str">
            <v>Устройство компенсационное</v>
          </cell>
          <cell r="I163" t="str">
            <v>Sliding guide for compensation cable</v>
          </cell>
          <cell r="J163" t="str">
            <v>шт</v>
          </cell>
          <cell r="K163"/>
          <cell r="L163"/>
          <cell r="M163"/>
          <cell r="N163"/>
          <cell r="O163"/>
          <cell r="P163"/>
          <cell r="Q163"/>
          <cell r="R163"/>
        </row>
        <row r="164">
          <cell r="B164">
            <v>158</v>
          </cell>
          <cell r="C164">
            <v>0</v>
          </cell>
          <cell r="D164" t="str">
            <v>Compensation chain</v>
          </cell>
          <cell r="E164" t="str">
            <v>ОСП0008173</v>
          </cell>
          <cell r="F164">
            <v>85451522010</v>
          </cell>
          <cell r="G164" t="str">
            <v>16-015-97 QL15</v>
          </cell>
          <cell r="H164" t="str">
            <v>Цепь компенсационная</v>
          </cell>
          <cell r="I164" t="str">
            <v>Compensations chain, rubberized,  quet link QL15 D.7, 2,24kg\m</v>
          </cell>
          <cell r="J164" t="str">
            <v>м</v>
          </cell>
          <cell r="K164"/>
          <cell r="L164"/>
          <cell r="M164" t="str">
            <v>Order</v>
          </cell>
          <cell r="N164" t="str">
            <v>Czech repub.</v>
          </cell>
          <cell r="O164" t="str">
            <v>DRAKA</v>
          </cell>
          <cell r="P164"/>
          <cell r="Q164"/>
          <cell r="R164"/>
        </row>
        <row r="165">
          <cell r="B165">
            <v>159</v>
          </cell>
          <cell r="C165">
            <v>0</v>
          </cell>
          <cell r="D165" t="str">
            <v>Compensation chain</v>
          </cell>
          <cell r="E165" t="str">
            <v>ОСП0009581</v>
          </cell>
          <cell r="F165">
            <v>85451522011</v>
          </cell>
          <cell r="G165" t="str">
            <v>16-010-97 QL10</v>
          </cell>
          <cell r="H165" t="str">
            <v>Цепь компенсационная  для RRL400 кг и 630кг</v>
          </cell>
          <cell r="I165" t="str">
            <v>Compensations chain, rubberized,  quet link QL10  1,49kg\m</v>
          </cell>
          <cell r="J165" t="str">
            <v>м</v>
          </cell>
          <cell r="K165"/>
          <cell r="L165"/>
          <cell r="M165" t="str">
            <v>Order</v>
          </cell>
          <cell r="N165" t="str">
            <v>Czech repub.</v>
          </cell>
          <cell r="O165" t="str">
            <v>DRAKA</v>
          </cell>
          <cell r="P165"/>
          <cell r="Q165"/>
          <cell r="R165"/>
        </row>
        <row r="166">
          <cell r="B166">
            <v>160</v>
          </cell>
          <cell r="C166">
            <v>0</v>
          </cell>
          <cell r="D166" t="str">
            <v>Communication</v>
          </cell>
          <cell r="E166" t="str">
            <v>ОСП0008685</v>
          </cell>
          <cell r="F166">
            <v>46405101039</v>
          </cell>
          <cell r="G166"/>
          <cell r="H166" t="str">
            <v>Блок лифтовой 6.0 TP THYSSEN TCM MC2</v>
          </cell>
          <cell r="I166" t="str">
            <v>Intercom LKDS Lift Unit 6.0 TP ThyssenKrupp TCM MC2</v>
          </cell>
          <cell r="J166" t="str">
            <v>шт</v>
          </cell>
          <cell r="K166"/>
          <cell r="L166"/>
          <cell r="M166" t="str">
            <v>Stock</v>
          </cell>
          <cell r="N166" t="str">
            <v>Russia</v>
          </cell>
          <cell r="O166" t="str">
            <v>ЛКДС</v>
          </cell>
          <cell r="P166"/>
          <cell r="Q166"/>
          <cell r="R166"/>
        </row>
        <row r="167">
          <cell r="B167">
            <v>161</v>
          </cell>
          <cell r="C167">
            <v>0</v>
          </cell>
          <cell r="D167" t="str">
            <v>Communication</v>
          </cell>
          <cell r="E167" t="str">
            <v>МП0000594</v>
          </cell>
          <cell r="F167">
            <v>46405101033</v>
          </cell>
          <cell r="G167"/>
          <cell r="H167" t="str">
            <v>Блок лифтовой v.6.0 THYSSEN</v>
          </cell>
          <cell r="I167" t="str">
            <v>Intercom base Lift unit  6.0 set</v>
          </cell>
          <cell r="J167" t="str">
            <v>шт</v>
          </cell>
          <cell r="K167"/>
          <cell r="L167"/>
          <cell r="M167" t="str">
            <v>Stock</v>
          </cell>
          <cell r="N167" t="str">
            <v>Russia</v>
          </cell>
          <cell r="O167" t="str">
            <v>ЛКДС</v>
          </cell>
          <cell r="P167"/>
          <cell r="Q167"/>
          <cell r="R167"/>
        </row>
        <row r="168">
          <cell r="B168">
            <v>162</v>
          </cell>
          <cell r="C168">
            <v>0</v>
          </cell>
          <cell r="D168" t="str">
            <v>Communication</v>
          </cell>
          <cell r="E168" t="str">
            <v>ОСП0003869</v>
          </cell>
          <cell r="F168">
            <v>46405101032</v>
          </cell>
          <cell r="G168"/>
          <cell r="H168" t="str">
            <v>Блок лифтовой v.6.1-Pro THYSSEN</v>
          </cell>
          <cell r="I168" t="str">
            <v>Intercom LKDS Lift Unit 6.1 Pro</v>
          </cell>
          <cell r="J168" t="str">
            <v>шт</v>
          </cell>
          <cell r="K168"/>
          <cell r="L168"/>
          <cell r="M168" t="str">
            <v>Stock</v>
          </cell>
          <cell r="N168" t="str">
            <v>Russia</v>
          </cell>
          <cell r="O168" t="str">
            <v>ЛКДС</v>
          </cell>
          <cell r="P168"/>
          <cell r="Q168"/>
          <cell r="R168"/>
        </row>
        <row r="169">
          <cell r="B169">
            <v>163</v>
          </cell>
          <cell r="C169">
            <v>0</v>
          </cell>
          <cell r="D169" t="str">
            <v>Communication</v>
          </cell>
          <cell r="E169" t="str">
            <v>МП0002403</v>
          </cell>
          <cell r="F169">
            <v>46405101037</v>
          </cell>
          <cell r="G169"/>
          <cell r="H169" t="str">
            <v>Межмодульный интерфейс USB</v>
          </cell>
          <cell r="I169" t="str">
            <v>USB Intermodule Interface (IMI)</v>
          </cell>
          <cell r="J169" t="str">
            <v>шт</v>
          </cell>
          <cell r="K169"/>
          <cell r="L169"/>
          <cell r="M169" t="str">
            <v>Stock</v>
          </cell>
          <cell r="N169" t="str">
            <v>Russia</v>
          </cell>
          <cell r="O169"/>
          <cell r="P169"/>
          <cell r="Q169"/>
          <cell r="R169"/>
        </row>
        <row r="170">
          <cell r="B170">
            <v>164</v>
          </cell>
          <cell r="C170">
            <v>0</v>
          </cell>
          <cell r="D170" t="str">
            <v>Communication</v>
          </cell>
          <cell r="E170" t="str">
            <v>МП0002432</v>
          </cell>
          <cell r="F170">
            <v>46405101038</v>
          </cell>
          <cell r="G170"/>
          <cell r="H170" t="str">
            <v>Моноблок КЛШ-КСЛ Ethernet</v>
          </cell>
          <cell r="I170" t="str">
            <v>LBC-TLC Combined Unit ETHERNET</v>
          </cell>
          <cell r="J170" t="str">
            <v>шт</v>
          </cell>
          <cell r="K170"/>
          <cell r="L170"/>
          <cell r="M170" t="str">
            <v>Stock</v>
          </cell>
          <cell r="N170" t="str">
            <v>Russia</v>
          </cell>
          <cell r="O170"/>
          <cell r="P170"/>
          <cell r="Q170"/>
          <cell r="R170"/>
        </row>
        <row r="171">
          <cell r="B171">
            <v>165</v>
          </cell>
          <cell r="C171">
            <v>0</v>
          </cell>
          <cell r="D171" t="str">
            <v>Communication</v>
          </cell>
          <cell r="E171" t="str">
            <v>ОСП0006977</v>
          </cell>
          <cell r="F171">
            <v>46405101020</v>
          </cell>
          <cell r="G171"/>
          <cell r="H171" t="str">
            <v>Устройство переговорное RRL400/1000</v>
          </cell>
          <cell r="I171" t="str">
            <v>Intercom RRL400/1000 not RLL1000F</v>
          </cell>
          <cell r="J171" t="str">
            <v>шт</v>
          </cell>
          <cell r="K171"/>
          <cell r="L171"/>
          <cell r="M171" t="str">
            <v>Stock</v>
          </cell>
          <cell r="N171" t="str">
            <v>Russia</v>
          </cell>
          <cell r="O171"/>
          <cell r="P171"/>
          <cell r="Q171"/>
          <cell r="R171"/>
        </row>
        <row r="172">
          <cell r="B172">
            <v>166</v>
          </cell>
          <cell r="C172">
            <v>0</v>
          </cell>
          <cell r="D172" t="str">
            <v>Other</v>
          </cell>
          <cell r="E172" t="str">
            <v>ОСП0009082</v>
          </cell>
          <cell r="F172">
            <v>46451520200</v>
          </cell>
          <cell r="G172"/>
          <cell r="H172" t="str">
            <v>AY Кабель U/UTP 2x2x0,5 Cat.5e, повышенной огнестойкости</v>
          </cell>
          <cell r="I172" t="str">
            <v>AY intercom FF cable kit U/UTP 2x2x0,5  Cat.5e</v>
          </cell>
          <cell r="J172" t="str">
            <v>шт</v>
          </cell>
          <cell r="K172"/>
          <cell r="L172"/>
          <cell r="M172"/>
          <cell r="N172"/>
          <cell r="O172"/>
          <cell r="P172"/>
          <cell r="Q172"/>
          <cell r="R172"/>
        </row>
        <row r="173">
          <cell r="B173">
            <v>167</v>
          </cell>
          <cell r="C173">
            <v>0</v>
          </cell>
          <cell r="D173" t="str">
            <v>Other</v>
          </cell>
          <cell r="E173" t="str">
            <v>ОСП0009080</v>
          </cell>
          <cell r="F173">
            <v>46451520100</v>
          </cell>
          <cell r="G173"/>
          <cell r="H173" t="str">
            <v>AY Кабель UTP 2x2x0,5 AWG24 Cat.5e</v>
          </cell>
          <cell r="I173" t="str">
            <v>AY Cable UTP 2x2x0,5 AWG24 Cat.5e</v>
          </cell>
          <cell r="J173" t="str">
            <v>шт</v>
          </cell>
          <cell r="K173"/>
          <cell r="L173"/>
          <cell r="M173"/>
          <cell r="N173"/>
          <cell r="O173"/>
          <cell r="P173"/>
          <cell r="Q173"/>
          <cell r="R173"/>
        </row>
        <row r="174">
          <cell r="B174">
            <v>168</v>
          </cell>
          <cell r="C174">
            <v>0</v>
          </cell>
          <cell r="D174" t="str">
            <v>Other</v>
          </cell>
          <cell r="E174" t="str">
            <v>ОСП0009417</v>
          </cell>
          <cell r="F174">
            <v>40402705103</v>
          </cell>
          <cell r="G174" t="str">
            <v>9129(1272520)</v>
          </cell>
          <cell r="H174" t="str">
            <v>Бита ТХ-20МВ</v>
          </cell>
          <cell r="I174" t="str">
            <v>Bat TX-20MB</v>
          </cell>
          <cell r="J174" t="str">
            <v>шт</v>
          </cell>
          <cell r="K174"/>
          <cell r="L174"/>
          <cell r="M174"/>
          <cell r="N174"/>
          <cell r="O174"/>
          <cell r="P174"/>
          <cell r="Q174"/>
          <cell r="R174"/>
        </row>
        <row r="175">
          <cell r="B175">
            <v>169</v>
          </cell>
          <cell r="C175">
            <v>0</v>
          </cell>
          <cell r="D175" t="str">
            <v>Other</v>
          </cell>
          <cell r="E175" t="str">
            <v>ОСП0007403</v>
          </cell>
          <cell r="F175">
            <v>30404101002</v>
          </cell>
          <cell r="G175"/>
          <cell r="H175" t="str">
            <v>Индикаторная панель City-zen</v>
          </cell>
          <cell r="I175" t="str">
            <v>Indicator City-zen horizontal at main floor</v>
          </cell>
          <cell r="J175" t="str">
            <v>шт</v>
          </cell>
          <cell r="K175"/>
          <cell r="L175"/>
          <cell r="M175"/>
          <cell r="N175"/>
          <cell r="O175"/>
          <cell r="P175"/>
          <cell r="Q175"/>
          <cell r="R175"/>
        </row>
        <row r="176">
          <cell r="B176">
            <v>170</v>
          </cell>
          <cell r="C176">
            <v>0</v>
          </cell>
          <cell r="D176" t="str">
            <v>Other</v>
          </cell>
          <cell r="E176" t="str">
            <v>ОСП0008196</v>
          </cell>
          <cell r="F176">
            <v>46451520031</v>
          </cell>
          <cell r="G176"/>
          <cell r="H176" t="str">
            <v>Кабель U/UTP 2x2x0,5  Cat.5e повышенной огнестойкости</v>
          </cell>
          <cell r="I176" t="str">
            <v>intercom FF cable kit U/UTP 2x2x0,5  Cat.5e</v>
          </cell>
          <cell r="J176" t="str">
            <v>м</v>
          </cell>
          <cell r="K176"/>
          <cell r="L176"/>
          <cell r="M176"/>
          <cell r="N176"/>
          <cell r="O176"/>
          <cell r="P176"/>
          <cell r="Q176"/>
          <cell r="R176"/>
        </row>
        <row r="177">
          <cell r="B177">
            <v>171</v>
          </cell>
          <cell r="C177">
            <v>0</v>
          </cell>
          <cell r="D177" t="str">
            <v>Other</v>
          </cell>
          <cell r="E177" t="str">
            <v>МП0001035</v>
          </cell>
          <cell r="F177">
            <v>46405101036</v>
          </cell>
          <cell r="G177"/>
          <cell r="H177" t="str">
            <v>Кабель соединительный 25*25</v>
          </cell>
          <cell r="I177" t="str">
            <v>Connecting Cable 25х25</v>
          </cell>
          <cell r="J177" t="str">
            <v>шт</v>
          </cell>
          <cell r="K177"/>
          <cell r="L177"/>
          <cell r="M177"/>
          <cell r="N177"/>
          <cell r="O177"/>
          <cell r="P177"/>
          <cell r="Q177"/>
          <cell r="R177"/>
        </row>
        <row r="178">
          <cell r="B178">
            <v>172</v>
          </cell>
          <cell r="C178">
            <v>0</v>
          </cell>
          <cell r="D178" t="str">
            <v>Other</v>
          </cell>
          <cell r="E178" t="str">
            <v>ОСП0006975</v>
          </cell>
          <cell r="F178">
            <v>46451520020</v>
          </cell>
          <cell r="G178"/>
          <cell r="H178" t="str">
            <v>Комплект проводов освещения шахты</v>
          </cell>
          <cell r="I178" t="str">
            <v>Shaft Light wiring</v>
          </cell>
          <cell r="J178" t="str">
            <v>компл</v>
          </cell>
          <cell r="K178"/>
          <cell r="L178"/>
          <cell r="M178"/>
          <cell r="N178"/>
          <cell r="O178"/>
          <cell r="P178"/>
          <cell r="Q178"/>
          <cell r="R178"/>
        </row>
        <row r="179">
          <cell r="B179">
            <v>173</v>
          </cell>
          <cell r="C179">
            <v>0</v>
          </cell>
          <cell r="D179" t="str">
            <v>Other</v>
          </cell>
          <cell r="E179" t="str">
            <v>ОСП0000354</v>
          </cell>
          <cell r="F179">
            <v>46660303000</v>
          </cell>
          <cell r="G179"/>
          <cell r="H179" t="str">
            <v>Компьютер</v>
          </cell>
          <cell r="I179" t="str">
            <v>Computer</v>
          </cell>
          <cell r="J179" t="str">
            <v>шт</v>
          </cell>
          <cell r="K179"/>
          <cell r="L179"/>
          <cell r="M179"/>
          <cell r="N179"/>
          <cell r="O179"/>
          <cell r="P179"/>
          <cell r="Q179"/>
          <cell r="R179"/>
        </row>
        <row r="180">
          <cell r="B180">
            <v>174</v>
          </cell>
          <cell r="C180">
            <v>0</v>
          </cell>
          <cell r="D180" t="str">
            <v>Other</v>
          </cell>
          <cell r="E180" t="str">
            <v>ОСП0006973</v>
          </cell>
          <cell r="F180">
            <v>46451502090</v>
          </cell>
          <cell r="G180"/>
          <cell r="H180" t="str">
            <v>Лестница приямка</v>
          </cell>
          <cell r="I180" t="str">
            <v>Pit ladder</v>
          </cell>
          <cell r="J180" t="str">
            <v>шт</v>
          </cell>
          <cell r="K180"/>
          <cell r="L180"/>
          <cell r="M180"/>
          <cell r="N180"/>
          <cell r="O180"/>
          <cell r="P180"/>
          <cell r="Q180"/>
          <cell r="R180"/>
        </row>
        <row r="181">
          <cell r="B181">
            <v>175</v>
          </cell>
          <cell r="C181">
            <v>0</v>
          </cell>
          <cell r="D181" t="str">
            <v>Other</v>
          </cell>
          <cell r="E181" t="str">
            <v>ОСП0007271</v>
          </cell>
          <cell r="F181">
            <v>46450900010</v>
          </cell>
          <cell r="G181"/>
          <cell r="H181" t="str">
            <v>Масло гидравлическое AIMOL Hydraulic oil HLP 68 (20л)</v>
          </cell>
          <cell r="I181" t="str">
            <v>AIMOL Hydraulic oil HLP 68 (20l)</v>
          </cell>
          <cell r="J181" t="str">
            <v>шт</v>
          </cell>
          <cell r="K181"/>
          <cell r="L181"/>
          <cell r="M181"/>
          <cell r="N181"/>
          <cell r="O181"/>
          <cell r="P181"/>
          <cell r="Q181"/>
          <cell r="R181"/>
        </row>
        <row r="182">
          <cell r="B182">
            <v>176</v>
          </cell>
          <cell r="C182">
            <v>0</v>
          </cell>
          <cell r="D182" t="str">
            <v>Other</v>
          </cell>
          <cell r="E182" t="str">
            <v>ОСП0007388</v>
          </cell>
          <cell r="F182">
            <v>46450900080</v>
          </cell>
          <cell r="G182"/>
          <cell r="H182" t="str">
            <v>Масло гидравлическое AIMOL Hydraulic oil HLP 68 , 0,5Л</v>
          </cell>
          <cell r="I182" t="str">
            <v>TKE 0,5 L Guide Rail Oil</v>
          </cell>
          <cell r="J182" t="str">
            <v>шт</v>
          </cell>
          <cell r="K182"/>
          <cell r="L182"/>
          <cell r="M182"/>
          <cell r="N182"/>
          <cell r="O182"/>
          <cell r="P182"/>
          <cell r="Q182"/>
          <cell r="R182"/>
        </row>
        <row r="183">
          <cell r="B183">
            <v>177</v>
          </cell>
          <cell r="C183">
            <v>0</v>
          </cell>
          <cell r="D183" t="str">
            <v>Other</v>
          </cell>
          <cell r="E183" t="str">
            <v>ОСП0006974</v>
          </cell>
          <cell r="F183">
            <v>46451520010</v>
          </cell>
          <cell r="G183"/>
          <cell r="H183" t="str">
            <v>Освещение шахты</v>
          </cell>
          <cell r="I183" t="str">
            <v>Shaft lights</v>
          </cell>
          <cell r="J183" t="str">
            <v>компл</v>
          </cell>
          <cell r="K183"/>
          <cell r="L183"/>
          <cell r="M183"/>
          <cell r="N183"/>
          <cell r="O183"/>
          <cell r="P183"/>
          <cell r="Q183"/>
          <cell r="R183"/>
        </row>
        <row r="184">
          <cell r="B184">
            <v>178</v>
          </cell>
          <cell r="C184">
            <v>0</v>
          </cell>
          <cell r="D184" t="str">
            <v>Other</v>
          </cell>
          <cell r="E184" t="str">
            <v>ОСП0007498</v>
          </cell>
          <cell r="F184">
            <v>46404101001</v>
          </cell>
          <cell r="G184"/>
          <cell r="H184" t="str">
            <v>Переключатель главный, 32А, 3P</v>
          </cell>
          <cell r="I184" t="str">
            <v>Main switch</v>
          </cell>
          <cell r="J184" t="str">
            <v>шт</v>
          </cell>
          <cell r="K184"/>
          <cell r="L184"/>
          <cell r="M184"/>
          <cell r="N184"/>
          <cell r="O184"/>
          <cell r="P184"/>
          <cell r="Q184"/>
          <cell r="R184"/>
        </row>
        <row r="185">
          <cell r="B185">
            <v>179</v>
          </cell>
          <cell r="C185">
            <v>0</v>
          </cell>
          <cell r="D185" t="str">
            <v>Other</v>
          </cell>
          <cell r="E185" t="str">
            <v>ОСП0006125</v>
          </cell>
          <cell r="F185">
            <v>40451523040</v>
          </cell>
          <cell r="G185" t="str">
            <v>6030909520</v>
          </cell>
          <cell r="H185" t="str">
            <v>Пластина оси отводного блока  D78x0,2</v>
          </cell>
          <cell r="I185" t="str">
            <v>Slot packing/Schlitzunterlage D78x0,2</v>
          </cell>
          <cell r="J185" t="str">
            <v>шт</v>
          </cell>
          <cell r="K185"/>
          <cell r="L185"/>
          <cell r="M185"/>
          <cell r="N185"/>
          <cell r="O185"/>
          <cell r="P185"/>
          <cell r="Q185"/>
          <cell r="R185"/>
        </row>
        <row r="186">
          <cell r="B186">
            <v>180</v>
          </cell>
          <cell r="C186">
            <v>0</v>
          </cell>
          <cell r="D186" t="str">
            <v>Other</v>
          </cell>
          <cell r="E186" t="str">
            <v>ОСП0006976</v>
          </cell>
          <cell r="F186">
            <v>46451520021</v>
          </cell>
          <cell r="G186"/>
          <cell r="H186" t="str">
            <v>Провод желто зеленый</v>
          </cell>
          <cell r="I186" t="str">
            <v>Grounding: Guide rails</v>
          </cell>
          <cell r="J186" t="str">
            <v>м</v>
          </cell>
          <cell r="K186"/>
          <cell r="L186"/>
          <cell r="M186"/>
          <cell r="N186"/>
          <cell r="O186"/>
          <cell r="P186"/>
          <cell r="Q186"/>
          <cell r="R186"/>
        </row>
        <row r="187">
          <cell r="B187">
            <v>181</v>
          </cell>
          <cell r="C187">
            <v>0</v>
          </cell>
          <cell r="D187" t="str">
            <v>Other</v>
          </cell>
          <cell r="E187" t="str">
            <v>ОСП0009381</v>
          </cell>
          <cell r="F187">
            <v>60730009235</v>
          </cell>
          <cell r="G187" t="str">
            <v>450276</v>
          </cell>
          <cell r="H187" t="str">
            <v>Ролик ETN</v>
          </cell>
          <cell r="I187" t="str">
            <v>Roller VSL o 100/20 x 34/18 mm VU 93° / steel-core, 2 x ball bearings 6204 2RS, snap-ring</v>
          </cell>
          <cell r="J187" t="str">
            <v>шт</v>
          </cell>
          <cell r="K187"/>
          <cell r="L187"/>
          <cell r="M187"/>
          <cell r="N187"/>
          <cell r="O187"/>
          <cell r="P187"/>
          <cell r="Q187"/>
          <cell r="R187"/>
        </row>
        <row r="188">
          <cell r="B188">
            <v>182</v>
          </cell>
          <cell r="C188">
            <v>0</v>
          </cell>
          <cell r="D188" t="str">
            <v>Other</v>
          </cell>
          <cell r="E188" t="str">
            <v>ОСП0009382</v>
          </cell>
          <cell r="F188">
            <v>61780003276</v>
          </cell>
          <cell r="G188" t="str">
            <v>450280</v>
          </cell>
          <cell r="H188" t="str">
            <v>Ролик ETN</v>
          </cell>
          <cell r="I188" t="str">
            <v>Roller VSL o 60/17 x 18 mm VU 65° / steel core, 1 x ball bearing 6003 ZZ, covering overwinded,snap-</v>
          </cell>
          <cell r="J188" t="str">
            <v>шт</v>
          </cell>
          <cell r="K188"/>
          <cell r="L188"/>
          <cell r="M188"/>
          <cell r="N188"/>
          <cell r="O188"/>
          <cell r="P188"/>
          <cell r="Q188"/>
          <cell r="R188"/>
        </row>
        <row r="189">
          <cell r="B189">
            <v>183</v>
          </cell>
          <cell r="C189">
            <v>0</v>
          </cell>
          <cell r="D189" t="str">
            <v>Other</v>
          </cell>
          <cell r="E189" t="str">
            <v>ОСП0009378</v>
          </cell>
          <cell r="F189">
            <v>99000009825</v>
          </cell>
          <cell r="G189" t="str">
            <v>450005</v>
          </cell>
          <cell r="H189" t="str">
            <v>Ролик ETN</v>
          </cell>
          <cell r="I189" t="str">
            <v>Roller VSL o 60/17 x 18 mm VU 93° / steel core, 1 x ball bearing 6003 ZZ, covering overwinded R80</v>
          </cell>
          <cell r="J189" t="str">
            <v>шт</v>
          </cell>
          <cell r="K189"/>
          <cell r="L189"/>
          <cell r="M189"/>
          <cell r="N189"/>
          <cell r="O189"/>
          <cell r="P189"/>
          <cell r="Q189"/>
          <cell r="R189"/>
        </row>
        <row r="190">
          <cell r="B190">
            <v>184</v>
          </cell>
          <cell r="C190">
            <v>0</v>
          </cell>
          <cell r="D190" t="str">
            <v>Other</v>
          </cell>
          <cell r="E190" t="str">
            <v>ОСП0006708</v>
          </cell>
          <cell r="F190">
            <v>46451519001</v>
          </cell>
          <cell r="G190" t="str">
            <v>99500010871</v>
          </cell>
          <cell r="H190" t="str">
            <v>Светильник LED Spot 4750K 3xLED 5,4W 12V IP20</v>
          </cell>
          <cell r="I190" t="str">
            <v>LED Spot 4750K 3xLED 5,5W 12V IP20</v>
          </cell>
          <cell r="J190" t="str">
            <v>шт</v>
          </cell>
          <cell r="K190"/>
          <cell r="L190"/>
          <cell r="M190"/>
          <cell r="N190"/>
          <cell r="O190"/>
          <cell r="P190"/>
          <cell r="Q190"/>
          <cell r="R190"/>
        </row>
        <row r="191">
          <cell r="B191">
            <v>185</v>
          </cell>
          <cell r="C191">
            <v>0</v>
          </cell>
          <cell r="D191" t="str">
            <v>Other</v>
          </cell>
          <cell r="E191" t="str">
            <v>ОСП0007721</v>
          </cell>
          <cell r="F191">
            <v>40451523090</v>
          </cell>
          <cell r="G191"/>
          <cell r="H191" t="str">
            <v>Спец. ключ СOP</v>
          </cell>
          <cell r="I191" t="str">
            <v>Special key COP</v>
          </cell>
          <cell r="J191" t="str">
            <v>шт</v>
          </cell>
          <cell r="K191"/>
          <cell r="L191"/>
          <cell r="M191"/>
          <cell r="N191"/>
          <cell r="O191"/>
          <cell r="P191"/>
          <cell r="Q191"/>
          <cell r="R191"/>
        </row>
        <row r="192">
          <cell r="B192">
            <v>186</v>
          </cell>
          <cell r="C192">
            <v>0</v>
          </cell>
          <cell r="D192" t="str">
            <v>Other</v>
          </cell>
          <cell r="E192" t="str">
            <v>ОСП0009376</v>
          </cell>
          <cell r="F192">
            <v>98218200</v>
          </cell>
          <cell r="G192" t="str">
            <v>315012</v>
          </cell>
          <cell r="H192" t="str">
            <v>Уплотнитель резиновый ETN</v>
          </cell>
          <cell r="I192" t="str">
            <v>Cable spring buffer ETN VU, o 50/17 x 40 mm, without bund</v>
          </cell>
          <cell r="J192" t="str">
            <v>шт</v>
          </cell>
          <cell r="K192"/>
          <cell r="L192"/>
          <cell r="M192"/>
          <cell r="N192"/>
          <cell r="O192"/>
          <cell r="P192"/>
          <cell r="Q192"/>
          <cell r="R192"/>
        </row>
        <row r="193">
          <cell r="B193">
            <v>187</v>
          </cell>
          <cell r="C193">
            <v>0</v>
          </cell>
          <cell r="D193" t="str">
            <v>Other</v>
          </cell>
          <cell r="E193" t="str">
            <v>ОСП0009377</v>
          </cell>
          <cell r="F193">
            <v>98229200</v>
          </cell>
          <cell r="G193" t="str">
            <v>315013</v>
          </cell>
          <cell r="H193" t="str">
            <v>Уплотнитель резиновый ETN</v>
          </cell>
          <cell r="I193" t="str">
            <v>Cable spring buffer VU, o 50/21 x 28 mm, without bund</v>
          </cell>
          <cell r="J193" t="str">
            <v>шт</v>
          </cell>
          <cell r="K193"/>
          <cell r="L193"/>
          <cell r="M193"/>
          <cell r="N193"/>
          <cell r="O193"/>
          <cell r="P193"/>
          <cell r="Q193"/>
          <cell r="R193"/>
        </row>
        <row r="194">
          <cell r="B194">
            <v>188</v>
          </cell>
          <cell r="C194">
            <v>0</v>
          </cell>
          <cell r="D194" t="str">
            <v>Fixation</v>
          </cell>
          <cell r="E194" t="str">
            <v>ОСП0010463</v>
          </cell>
          <cell r="F194">
            <v>46452404008</v>
          </cell>
          <cell r="G194" t="str">
            <v>2105719</v>
          </cell>
          <cell r="H194" t="str">
            <v>Анкер-шпил. отв. крепл. HILTI HST3 M12x115 40/20</v>
          </cell>
          <cell r="I194" t="str">
            <v>HILTI HST3 M12x115 40/20</v>
          </cell>
          <cell r="J194" t="str">
            <v>шт</v>
          </cell>
          <cell r="K194"/>
          <cell r="L194"/>
          <cell r="M194"/>
          <cell r="N194"/>
          <cell r="O194"/>
          <cell r="P194"/>
          <cell r="Q194"/>
          <cell r="R194"/>
        </row>
        <row r="195">
          <cell r="B195">
            <v>189</v>
          </cell>
          <cell r="C195">
            <v>0</v>
          </cell>
          <cell r="D195" t="str">
            <v>Fixation</v>
          </cell>
          <cell r="E195" t="str">
            <v>ОСП0005565</v>
          </cell>
          <cell r="F195">
            <v>46452404000</v>
          </cell>
          <cell r="G195" t="str">
            <v>332221</v>
          </cell>
          <cell r="H195" t="str">
            <v>Анкер-шпил.отв.крепл. HAS-E M12X110/28 HILTI, упак. 20 шт.</v>
          </cell>
          <cell r="I195" t="str">
            <v>Dowls, chemical:  M12 threaded rod</v>
          </cell>
          <cell r="J195" t="str">
            <v>упак</v>
          </cell>
          <cell r="K195"/>
          <cell r="L195"/>
          <cell r="M195"/>
          <cell r="N195"/>
          <cell r="O195"/>
          <cell r="P195"/>
          <cell r="Q195"/>
          <cell r="R195"/>
        </row>
        <row r="196">
          <cell r="B196">
            <v>190</v>
          </cell>
          <cell r="C196">
            <v>0</v>
          </cell>
          <cell r="D196" t="str">
            <v>Fixation</v>
          </cell>
          <cell r="E196" t="str">
            <v>ОСП0003220</v>
          </cell>
          <cell r="F196">
            <v>46452404001</v>
          </cell>
          <cell r="G196" t="str">
            <v>255846</v>
          </cell>
          <cell r="H196" t="str">
            <v>Анкер-шпил.отв.крепл. HSA M12X120/25/45 HILTI</v>
          </cell>
          <cell r="I196" t="str">
            <v>Dowls, mechanical: M12</v>
          </cell>
          <cell r="J196" t="str">
            <v>шт</v>
          </cell>
          <cell r="K196"/>
          <cell r="L196"/>
          <cell r="M196"/>
          <cell r="N196"/>
          <cell r="O196"/>
          <cell r="P196"/>
          <cell r="Q196"/>
          <cell r="R196"/>
        </row>
        <row r="197">
          <cell r="B197">
            <v>191</v>
          </cell>
          <cell r="C197">
            <v>0</v>
          </cell>
          <cell r="D197" t="str">
            <v>Fixation</v>
          </cell>
          <cell r="E197" t="str">
            <v>ОСП0007109</v>
          </cell>
          <cell r="F197">
            <v>46452404003</v>
          </cell>
          <cell r="G197"/>
          <cell r="H197" t="str">
            <v>Анкер-шпил.отв.крепл. HST M10X100/20 HILTI</v>
          </cell>
          <cell r="I197" t="str">
            <v>Dowls:  HST M10X100/20</v>
          </cell>
          <cell r="J197" t="str">
            <v>шт</v>
          </cell>
          <cell r="K197"/>
          <cell r="L197"/>
          <cell r="M197"/>
          <cell r="N197"/>
          <cell r="O197"/>
          <cell r="P197"/>
          <cell r="Q197"/>
          <cell r="R197"/>
        </row>
        <row r="198">
          <cell r="B198">
            <v>192</v>
          </cell>
          <cell r="C198">
            <v>0</v>
          </cell>
          <cell r="D198" t="str">
            <v>Fixation</v>
          </cell>
          <cell r="E198" t="str">
            <v>ОСП0007239</v>
          </cell>
          <cell r="F198">
            <v>40451523046</v>
          </cell>
          <cell r="G198"/>
          <cell r="H198" t="str">
            <v>Болт M10x30 с прямоугольной головкой с пружиной, шайбой, гайкой</v>
          </cell>
          <cell r="I198" t="str">
            <v>Square head screw M10x30 with spring, washer, nut</v>
          </cell>
          <cell r="J198" t="str">
            <v>шт</v>
          </cell>
          <cell r="K198"/>
          <cell r="L198"/>
          <cell r="M198"/>
          <cell r="N198"/>
          <cell r="O198"/>
          <cell r="P198"/>
          <cell r="Q198"/>
          <cell r="R198"/>
        </row>
        <row r="199">
          <cell r="B199">
            <v>193</v>
          </cell>
          <cell r="C199">
            <v>0</v>
          </cell>
          <cell r="D199" t="str">
            <v>Fixation</v>
          </cell>
          <cell r="E199" t="str">
            <v>ОСП0007221</v>
          </cell>
          <cell r="F199">
            <v>40451523035</v>
          </cell>
          <cell r="G199"/>
          <cell r="H199" t="str">
            <v>Болт M12x35 с шестигранной головкой и пресс-шайбой DIN 6921, к.п. 8.8</v>
          </cell>
          <cell r="I199" t="str">
            <v>M12x35 Hexagon Flange Lock Screw w/Self-Locking Ribbed Flange Head, 8.8, DIN 6921</v>
          </cell>
          <cell r="J199" t="str">
            <v>шт</v>
          </cell>
          <cell r="K199"/>
          <cell r="L199"/>
          <cell r="M199"/>
          <cell r="N199"/>
          <cell r="O199"/>
          <cell r="P199"/>
          <cell r="Q199"/>
          <cell r="R199"/>
        </row>
        <row r="200">
          <cell r="B200">
            <v>194</v>
          </cell>
          <cell r="C200">
            <v>0</v>
          </cell>
          <cell r="D200" t="str">
            <v>Fixation</v>
          </cell>
          <cell r="E200" t="str">
            <v>ОСП0007220</v>
          </cell>
          <cell r="F200">
            <v>40451523034</v>
          </cell>
          <cell r="G200"/>
          <cell r="H200" t="str">
            <v>Болт M8x25 с шестигранной головкой и пресс-шайбой DIN 6921, к.п. 8.8</v>
          </cell>
          <cell r="I200" t="str">
            <v>M8x25 Hexagon Flange Lock Screw w/Self-Locking Ribbed Flange Head, 8.8, DIN 6921</v>
          </cell>
          <cell r="J200" t="str">
            <v>шт</v>
          </cell>
          <cell r="K200"/>
          <cell r="L200"/>
          <cell r="M200"/>
          <cell r="N200"/>
          <cell r="O200"/>
          <cell r="P200"/>
          <cell r="Q200"/>
          <cell r="R200"/>
        </row>
        <row r="201">
          <cell r="B201">
            <v>195</v>
          </cell>
          <cell r="C201">
            <v>0</v>
          </cell>
          <cell r="D201" t="str">
            <v>Fixation</v>
          </cell>
          <cell r="E201" t="str">
            <v>ОСП0007276</v>
          </cell>
          <cell r="F201">
            <v>40451523053</v>
          </cell>
          <cell r="G201"/>
          <cell r="H201" t="str">
            <v>Болт шестигранный M10x30 DIN 933, к.п. 8.8, оцинкованный</v>
          </cell>
          <cell r="I201" t="str">
            <v>Hexagon screw M10x30 DIN 933, 8.8, zinced</v>
          </cell>
          <cell r="J201" t="str">
            <v>шт</v>
          </cell>
          <cell r="K201"/>
          <cell r="L201"/>
          <cell r="M201"/>
          <cell r="N201"/>
          <cell r="O201"/>
          <cell r="P201"/>
          <cell r="Q201"/>
          <cell r="R201"/>
        </row>
        <row r="202">
          <cell r="B202">
            <v>196</v>
          </cell>
          <cell r="C202">
            <v>0</v>
          </cell>
          <cell r="D202" t="str">
            <v>Fixation</v>
          </cell>
          <cell r="E202" t="str">
            <v>ОСП0007277</v>
          </cell>
          <cell r="F202">
            <v>40451523054</v>
          </cell>
          <cell r="G202"/>
          <cell r="H202" t="str">
            <v>Болт шестигранный M12x25 DIN 933, к.п. 8.8, оцинкованный</v>
          </cell>
          <cell r="I202" t="str">
            <v>Hexagon screw M12x25 DIN 933, 8.8, zinced</v>
          </cell>
          <cell r="J202" t="str">
            <v>шт</v>
          </cell>
          <cell r="K202"/>
          <cell r="L202"/>
          <cell r="M202"/>
          <cell r="N202"/>
          <cell r="O202"/>
          <cell r="P202"/>
          <cell r="Q202"/>
          <cell r="R202"/>
        </row>
        <row r="203">
          <cell r="B203">
            <v>197</v>
          </cell>
          <cell r="C203">
            <v>0</v>
          </cell>
          <cell r="D203" t="str">
            <v>Fixation</v>
          </cell>
          <cell r="E203" t="str">
            <v>ОСП0007278</v>
          </cell>
          <cell r="F203">
            <v>40451523055</v>
          </cell>
          <cell r="G203"/>
          <cell r="H203" t="str">
            <v>Болт шестигранный M14x50 DIN 933, к.п. 8.8, оцинкованный</v>
          </cell>
          <cell r="I203" t="str">
            <v>Hexagon screw M14x50 DIN 933, 8.8, zinced</v>
          </cell>
          <cell r="J203" t="str">
            <v>шт</v>
          </cell>
          <cell r="K203"/>
          <cell r="L203"/>
          <cell r="M203"/>
          <cell r="N203"/>
          <cell r="O203"/>
          <cell r="P203"/>
          <cell r="Q203"/>
          <cell r="R203"/>
        </row>
        <row r="204">
          <cell r="B204">
            <v>198</v>
          </cell>
          <cell r="C204">
            <v>0</v>
          </cell>
          <cell r="D204" t="str">
            <v>Fixation</v>
          </cell>
          <cell r="E204" t="str">
            <v>ОСП0007279</v>
          </cell>
          <cell r="F204">
            <v>40451523056</v>
          </cell>
          <cell r="G204"/>
          <cell r="H204" t="str">
            <v>Болт шестигранный M16x50 DIN 933, к.п. 8.8, оцинкованный</v>
          </cell>
          <cell r="I204" t="str">
            <v>Hexagon screw M16x50 DIN 933, 8.8, zinced</v>
          </cell>
          <cell r="J204" t="str">
            <v>шт</v>
          </cell>
          <cell r="K204"/>
          <cell r="L204"/>
          <cell r="M204"/>
          <cell r="N204"/>
          <cell r="O204"/>
          <cell r="P204"/>
          <cell r="Q204"/>
          <cell r="R204"/>
        </row>
        <row r="205">
          <cell r="B205">
            <v>199</v>
          </cell>
          <cell r="C205">
            <v>0</v>
          </cell>
          <cell r="D205" t="str">
            <v>Fixation</v>
          </cell>
          <cell r="E205" t="str">
            <v>ОСП0007280</v>
          </cell>
          <cell r="F205">
            <v>40451523057</v>
          </cell>
          <cell r="G205"/>
          <cell r="H205" t="str">
            <v>Болт шестигранный M20x45 DIN 933, к.п. 8.8, оцинкованный</v>
          </cell>
          <cell r="I205" t="str">
            <v>Hexagon screw M20x45 DIN 933, 8.8, zinced</v>
          </cell>
          <cell r="J205" t="str">
            <v>шт</v>
          </cell>
          <cell r="K205"/>
          <cell r="L205"/>
          <cell r="M205"/>
          <cell r="N205"/>
          <cell r="O205"/>
          <cell r="P205"/>
          <cell r="Q205"/>
          <cell r="R205"/>
        </row>
        <row r="206">
          <cell r="B206">
            <v>200</v>
          </cell>
          <cell r="C206">
            <v>0</v>
          </cell>
          <cell r="D206" t="str">
            <v>Fixation</v>
          </cell>
          <cell r="E206" t="str">
            <v>ОСП0007281</v>
          </cell>
          <cell r="F206">
            <v>40451523058</v>
          </cell>
          <cell r="G206"/>
          <cell r="H206" t="str">
            <v>Болт шестигранный M20x50 DIN 933, к.п. 8.8, оцинкованный</v>
          </cell>
          <cell r="I206" t="str">
            <v>Hexagon screw M20x50 DIN 933, 8.8, zinced</v>
          </cell>
          <cell r="J206" t="str">
            <v>шт</v>
          </cell>
          <cell r="K206"/>
          <cell r="L206"/>
          <cell r="M206"/>
          <cell r="N206"/>
          <cell r="O206"/>
          <cell r="P206"/>
          <cell r="Q206"/>
          <cell r="R206"/>
        </row>
        <row r="207">
          <cell r="B207">
            <v>201</v>
          </cell>
          <cell r="C207">
            <v>0</v>
          </cell>
          <cell r="D207" t="str">
            <v>Fixation</v>
          </cell>
          <cell r="E207" t="str">
            <v>ОСП0007267</v>
          </cell>
          <cell r="F207">
            <v>40451523049</v>
          </cell>
          <cell r="G207"/>
          <cell r="H207" t="str">
            <v>Болт шестигранный M6x16 DIN 933, к.п. 8.8, оцинкованный</v>
          </cell>
          <cell r="I207" t="str">
            <v>Hexagon screw M6x16 DIN 933, 8.8, zinced</v>
          </cell>
          <cell r="J207" t="str">
            <v>шт</v>
          </cell>
          <cell r="K207"/>
          <cell r="L207"/>
          <cell r="M207"/>
          <cell r="N207"/>
          <cell r="O207"/>
          <cell r="P207"/>
          <cell r="Q207"/>
          <cell r="R207"/>
        </row>
        <row r="208">
          <cell r="B208">
            <v>202</v>
          </cell>
          <cell r="C208">
            <v>0</v>
          </cell>
          <cell r="D208" t="str">
            <v>Fixation</v>
          </cell>
          <cell r="E208" t="str">
            <v>ОСП0007273</v>
          </cell>
          <cell r="F208">
            <v>40451523050</v>
          </cell>
          <cell r="G208"/>
          <cell r="H208" t="str">
            <v>Болт шестигранный M8x20 DIN 933, к.п. 8.8, оцинкованный</v>
          </cell>
          <cell r="I208" t="str">
            <v>Hexagon screw M8x20 DIN 933, 8.8, zinced</v>
          </cell>
          <cell r="J208" t="str">
            <v>шт</v>
          </cell>
          <cell r="K208"/>
          <cell r="L208"/>
          <cell r="M208"/>
          <cell r="N208"/>
          <cell r="O208"/>
          <cell r="P208"/>
          <cell r="Q208"/>
          <cell r="R208"/>
        </row>
        <row r="209">
          <cell r="B209">
            <v>203</v>
          </cell>
          <cell r="C209">
            <v>0</v>
          </cell>
          <cell r="D209" t="str">
            <v>Fixation</v>
          </cell>
          <cell r="E209" t="str">
            <v>ОСП0007274</v>
          </cell>
          <cell r="F209">
            <v>40451523051</v>
          </cell>
          <cell r="G209"/>
          <cell r="H209" t="str">
            <v>Болт шестигранный M8x60 DIN 933, к.п. 8.8, оцинкованный</v>
          </cell>
          <cell r="I209" t="str">
            <v>Hexagon screw M8x60 DIN 933, 8.8, zinced</v>
          </cell>
          <cell r="J209" t="str">
            <v>шт</v>
          </cell>
          <cell r="K209"/>
          <cell r="L209"/>
          <cell r="M209"/>
          <cell r="N209"/>
          <cell r="O209"/>
          <cell r="P209"/>
          <cell r="Q209"/>
          <cell r="R209"/>
        </row>
        <row r="210">
          <cell r="B210">
            <v>204</v>
          </cell>
          <cell r="C210">
            <v>0</v>
          </cell>
          <cell r="D210" t="str">
            <v>Fixation</v>
          </cell>
          <cell r="E210" t="str">
            <v>ОСП0007275</v>
          </cell>
          <cell r="F210">
            <v>40451523052</v>
          </cell>
          <cell r="G210"/>
          <cell r="H210" t="str">
            <v>Болт шестигранный M8x80 DIN 933, к.п. 8.8, оцинкованный</v>
          </cell>
          <cell r="I210" t="str">
            <v>Hexagon screw M8x80 DIN 933, 8.8, zinced</v>
          </cell>
          <cell r="J210" t="str">
            <v>шт</v>
          </cell>
          <cell r="K210"/>
          <cell r="L210"/>
          <cell r="M210"/>
          <cell r="N210"/>
          <cell r="O210"/>
          <cell r="P210"/>
          <cell r="Q210"/>
          <cell r="R210"/>
        </row>
        <row r="211">
          <cell r="B211">
            <v>205</v>
          </cell>
          <cell r="C211">
            <v>0</v>
          </cell>
          <cell r="D211" t="str">
            <v>Fixation</v>
          </cell>
          <cell r="E211" t="str">
            <v>ОСП0009413</v>
          </cell>
          <cell r="F211">
            <v>40402705101</v>
          </cell>
          <cell r="G211"/>
          <cell r="H211" t="str">
            <v>Винт 3х10 потай/гл.крест/шл. DIN 965 А2</v>
          </cell>
          <cell r="I211" t="str">
            <v>Screw 3x10 DIN 965 A2</v>
          </cell>
          <cell r="J211" t="str">
            <v>шт</v>
          </cell>
          <cell r="K211"/>
          <cell r="L211"/>
          <cell r="M211"/>
          <cell r="N211"/>
          <cell r="O211"/>
          <cell r="P211"/>
          <cell r="Q211"/>
          <cell r="R211"/>
        </row>
        <row r="212">
          <cell r="B212">
            <v>206</v>
          </cell>
          <cell r="C212">
            <v>0</v>
          </cell>
          <cell r="D212" t="str">
            <v>Fixation</v>
          </cell>
          <cell r="E212" t="str">
            <v>ОСП0009416</v>
          </cell>
          <cell r="F212">
            <v>40402705102</v>
          </cell>
          <cell r="G212" t="str">
            <v>9123 А2</v>
          </cell>
          <cell r="H212" t="str">
            <v>Винт 4х16 секретн.потай/гл. со штифтом ТХ20</v>
          </cell>
          <cell r="I212" t="str">
            <v>Screw 4x16 with pin TX20</v>
          </cell>
          <cell r="J212" t="str">
            <v>шт</v>
          </cell>
          <cell r="K212"/>
          <cell r="L212"/>
          <cell r="M212"/>
          <cell r="N212"/>
          <cell r="O212"/>
          <cell r="P212"/>
          <cell r="Q212"/>
          <cell r="R212"/>
        </row>
        <row r="213">
          <cell r="B213">
            <v>207</v>
          </cell>
          <cell r="C213">
            <v>0</v>
          </cell>
          <cell r="D213" t="str">
            <v>Fixation</v>
          </cell>
          <cell r="E213" t="str">
            <v>ОСП0007297</v>
          </cell>
          <cell r="F213">
            <v>40451523064</v>
          </cell>
          <cell r="G213"/>
          <cell r="H213" t="str">
            <v>Винт M6x10 DIN84</v>
          </cell>
          <cell r="I213" t="str">
            <v>Screw M6x10 DIN84</v>
          </cell>
          <cell r="J213" t="str">
            <v>шт</v>
          </cell>
          <cell r="K213">
            <v>11</v>
          </cell>
          <cell r="L213"/>
          <cell r="M213" t="str">
            <v>Stock</v>
          </cell>
          <cell r="N213" t="str">
            <v>Russia</v>
          </cell>
          <cell r="O213"/>
          <cell r="P213"/>
          <cell r="Q213"/>
          <cell r="R213"/>
        </row>
        <row r="214">
          <cell r="B214">
            <v>208</v>
          </cell>
          <cell r="C214">
            <v>0</v>
          </cell>
          <cell r="D214" t="str">
            <v>Fixation</v>
          </cell>
          <cell r="E214" t="str">
            <v>ОСП0007293</v>
          </cell>
          <cell r="F214">
            <v>40451523063</v>
          </cell>
          <cell r="G214"/>
          <cell r="H214" t="str">
            <v>Гайка M8 шестигранная 8 DIN 7967</v>
          </cell>
          <cell r="I214" t="str">
            <v>M8 self loching hexugon nut DIN 7967</v>
          </cell>
          <cell r="J214" t="str">
            <v>шт</v>
          </cell>
          <cell r="K214"/>
          <cell r="L214"/>
          <cell r="M214"/>
          <cell r="N214"/>
          <cell r="O214"/>
          <cell r="P214"/>
          <cell r="Q214"/>
          <cell r="R214"/>
        </row>
        <row r="215">
          <cell r="B215">
            <v>209</v>
          </cell>
          <cell r="C215">
            <v>1</v>
          </cell>
          <cell r="D215" t="str">
            <v>Fixation</v>
          </cell>
          <cell r="E215" t="str">
            <v>ОСП0007283</v>
          </cell>
          <cell r="F215">
            <v>40451523060</v>
          </cell>
          <cell r="G215"/>
          <cell r="H215" t="str">
            <v>Гайка шестигранная M16 DIN 934, к.п. 8, оцинкованная</v>
          </cell>
          <cell r="I215" t="str">
            <v>Hexagon nut M16 DIN 934, 8, zinced</v>
          </cell>
          <cell r="J215" t="str">
            <v>шт</v>
          </cell>
          <cell r="K215">
            <v>7</v>
          </cell>
          <cell r="L215"/>
          <cell r="M215" t="str">
            <v>Stock</v>
          </cell>
          <cell r="N215" t="str">
            <v>Russia</v>
          </cell>
          <cell r="O215"/>
          <cell r="P215" t="str">
            <v>2-4 weeks</v>
          </cell>
          <cell r="Q215"/>
          <cell r="R215"/>
        </row>
        <row r="216">
          <cell r="B216">
            <v>210</v>
          </cell>
          <cell r="C216">
            <v>0</v>
          </cell>
          <cell r="D216" t="str">
            <v>Fixation</v>
          </cell>
          <cell r="E216" t="str">
            <v>ОСП0007284</v>
          </cell>
          <cell r="F216">
            <v>40451523061</v>
          </cell>
          <cell r="G216"/>
          <cell r="H216" t="str">
            <v>Гайка шестигранная M18 DIN 934, к.п. 8, оцинкованная</v>
          </cell>
          <cell r="I216" t="str">
            <v>Hexagon nut M18 DIN 934, 8, zinced</v>
          </cell>
          <cell r="J216" t="str">
            <v>шт</v>
          </cell>
          <cell r="K216"/>
          <cell r="L216"/>
          <cell r="M216"/>
          <cell r="N216"/>
          <cell r="O216"/>
          <cell r="P216"/>
          <cell r="Q216"/>
          <cell r="R216"/>
        </row>
        <row r="217">
          <cell r="B217">
            <v>211</v>
          </cell>
          <cell r="C217">
            <v>0</v>
          </cell>
          <cell r="D217" t="str">
            <v>Fixation</v>
          </cell>
          <cell r="E217" t="str">
            <v>ОСП0007282</v>
          </cell>
          <cell r="F217">
            <v>40451523059</v>
          </cell>
          <cell r="G217"/>
          <cell r="H217" t="str">
            <v>Гайка шестигранная M6 DIN 934, к.п. 8, оцинкованная</v>
          </cell>
          <cell r="I217" t="str">
            <v>Hexagon nut M6 DIN 934, 8, zinced</v>
          </cell>
          <cell r="J217" t="str">
            <v>шт</v>
          </cell>
          <cell r="K217"/>
          <cell r="L217"/>
          <cell r="M217"/>
          <cell r="N217"/>
          <cell r="O217"/>
          <cell r="P217"/>
          <cell r="Q217"/>
          <cell r="R217"/>
        </row>
        <row r="218">
          <cell r="B218">
            <v>212</v>
          </cell>
          <cell r="C218">
            <v>0</v>
          </cell>
          <cell r="D218" t="str">
            <v>Fixation</v>
          </cell>
          <cell r="E218" t="str">
            <v>ОСП0003099</v>
          </cell>
          <cell r="F218">
            <v>46452404030</v>
          </cell>
          <cell r="G218" t="str">
            <v>49763</v>
          </cell>
          <cell r="H218" t="str">
            <v>Гильза сетчатая HIT-S 16X1M , 1000 мм. Hilti</v>
          </cell>
          <cell r="I218" t="str">
            <v>Dowls, chemical:  M12 mesh sleeve</v>
          </cell>
          <cell r="J218" t="str">
            <v>шт</v>
          </cell>
          <cell r="K218"/>
          <cell r="L218"/>
          <cell r="M218"/>
          <cell r="N218"/>
          <cell r="O218"/>
          <cell r="P218"/>
          <cell r="Q218"/>
          <cell r="R218"/>
        </row>
        <row r="219">
          <cell r="B219">
            <v>213</v>
          </cell>
          <cell r="C219">
            <v>0</v>
          </cell>
          <cell r="D219" t="str">
            <v>Fixation</v>
          </cell>
          <cell r="E219" t="str">
            <v>ОСП0003053</v>
          </cell>
          <cell r="F219">
            <v>46452404031</v>
          </cell>
          <cell r="G219" t="str">
            <v>383677</v>
          </cell>
          <cell r="H219" t="str">
            <v>Капсула HIT-HY 70 330/2, HILTI 00383677</v>
          </cell>
          <cell r="I219" t="str">
            <v>Dowls, chemical:  M12 2-component-motar cartuche</v>
          </cell>
          <cell r="J219" t="str">
            <v>шт</v>
          </cell>
          <cell r="K219"/>
          <cell r="L219"/>
          <cell r="M219"/>
          <cell r="N219"/>
          <cell r="O219"/>
          <cell r="P219"/>
          <cell r="Q219"/>
          <cell r="R219"/>
        </row>
        <row r="220">
          <cell r="B220">
            <v>214</v>
          </cell>
          <cell r="C220">
            <v>0</v>
          </cell>
          <cell r="D220" t="str">
            <v>Fixation</v>
          </cell>
          <cell r="E220" t="str">
            <v>ОСП0005517</v>
          </cell>
          <cell r="F220">
            <v>80451523030</v>
          </cell>
          <cell r="G220"/>
          <cell r="H220" t="str">
            <v>Комплект крепежа к стыковой планке RT 50</v>
          </cell>
          <cell r="I220" t="str">
            <v>Fixture set for guiderails RT 50 incl. Bolts 8pc+Washers8pc+Nutspc</v>
          </cell>
          <cell r="J220" t="str">
            <v>компл</v>
          </cell>
          <cell r="K220">
            <v>6</v>
          </cell>
          <cell r="L220"/>
          <cell r="M220" t="str">
            <v>Order</v>
          </cell>
          <cell r="N220" t="str">
            <v>Italy</v>
          </cell>
          <cell r="O220" t="str">
            <v>Monteferro</v>
          </cell>
          <cell r="P220"/>
          <cell r="Q220"/>
          <cell r="R220"/>
        </row>
        <row r="221">
          <cell r="B221">
            <v>215</v>
          </cell>
          <cell r="C221">
            <v>0</v>
          </cell>
          <cell r="D221" t="str">
            <v>Fixation</v>
          </cell>
          <cell r="E221" t="str">
            <v>ОСП0007903</v>
          </cell>
          <cell r="F221">
            <v>80451523010</v>
          </cell>
          <cell r="G221"/>
          <cell r="H221" t="str">
            <v>Комплект крепежа к стыковой планке T70-1/RP90</v>
          </cell>
          <cell r="I221" t="str">
            <v>Fixture set for guiderails T70-1/RP90 incl. Bolts 8pc+Washers8pc+Nutspc</v>
          </cell>
          <cell r="J221" t="str">
            <v>компл</v>
          </cell>
          <cell r="K221">
            <v>6</v>
          </cell>
          <cell r="L221"/>
          <cell r="M221" t="str">
            <v>Order</v>
          </cell>
          <cell r="N221" t="str">
            <v>Italy</v>
          </cell>
          <cell r="O221" t="str">
            <v>Monteferro</v>
          </cell>
          <cell r="P221"/>
          <cell r="Q221"/>
          <cell r="R221"/>
        </row>
        <row r="222">
          <cell r="B222">
            <v>216</v>
          </cell>
          <cell r="C222">
            <v>0</v>
          </cell>
          <cell r="D222" t="str">
            <v>Fixation</v>
          </cell>
          <cell r="E222" t="str">
            <v>ОСП0006979</v>
          </cell>
          <cell r="F222">
            <v>30456601010</v>
          </cell>
          <cell r="G222"/>
          <cell r="H222" t="str">
            <v>Комплект крепежа системы позиционирования</v>
          </cell>
          <cell r="I222" t="str">
            <v>PRS - Bracket for PRS vane rope system</v>
          </cell>
          <cell r="J222" t="str">
            <v>компл</v>
          </cell>
          <cell r="K222"/>
          <cell r="L222"/>
          <cell r="M222"/>
          <cell r="N222"/>
          <cell r="O222"/>
          <cell r="P222"/>
          <cell r="Q222"/>
          <cell r="R222"/>
        </row>
        <row r="223">
          <cell r="B223">
            <v>217</v>
          </cell>
          <cell r="C223">
            <v>0</v>
          </cell>
          <cell r="D223" t="str">
            <v>Fixation</v>
          </cell>
          <cell r="E223" t="str">
            <v>ОСП0007062</v>
          </cell>
          <cell r="F223">
            <v>40456603001</v>
          </cell>
          <cell r="G223" t="str">
            <v>98578600</v>
          </cell>
          <cell r="H223" t="str">
            <v>Шайба PVC 62/80x4</v>
          </cell>
          <cell r="I223" t="str">
            <v>Washer PVC 62/80x4</v>
          </cell>
          <cell r="J223" t="str">
            <v>шт</v>
          </cell>
          <cell r="K223"/>
          <cell r="L223"/>
          <cell r="M223"/>
          <cell r="N223"/>
          <cell r="O223"/>
          <cell r="P223"/>
          <cell r="Q223"/>
          <cell r="R223"/>
        </row>
        <row r="224">
          <cell r="B224">
            <v>218</v>
          </cell>
          <cell r="C224">
            <v>0</v>
          </cell>
          <cell r="D224" t="str">
            <v>Fixation</v>
          </cell>
          <cell r="E224" t="str">
            <v>ОСП0007236</v>
          </cell>
          <cell r="F224">
            <v>40451523044</v>
          </cell>
          <cell r="G224"/>
          <cell r="H224" t="str">
            <v>Шайба под M10, плоская утолщённая DIN 7349, оцинкованная</v>
          </cell>
          <cell r="I224" t="str">
            <v>Flat washer for M10 DIN 7349, zinced</v>
          </cell>
          <cell r="J224" t="str">
            <v>шт</v>
          </cell>
          <cell r="K224"/>
          <cell r="L224"/>
          <cell r="M224"/>
          <cell r="N224"/>
          <cell r="O224"/>
          <cell r="P224"/>
          <cell r="Q224"/>
          <cell r="R224"/>
        </row>
        <row r="225">
          <cell r="B225">
            <v>219</v>
          </cell>
          <cell r="C225">
            <v>0</v>
          </cell>
          <cell r="D225" t="str">
            <v>Fixation</v>
          </cell>
          <cell r="E225" t="str">
            <v>?</v>
          </cell>
          <cell r="F225">
            <v>46451502023</v>
          </cell>
          <cell r="G225"/>
          <cell r="H225" t="str">
            <v>Планка стыковая Monteferro Т70</v>
          </cell>
          <cell r="I225" t="str">
            <v>Monteferro Fishplate T70/A incl. Bolts, Nuts w/o locknuts</v>
          </cell>
          <cell r="J225" t="str">
            <v>шт</v>
          </cell>
          <cell r="K225">
            <v>6</v>
          </cell>
          <cell r="L225"/>
          <cell r="M225" t="str">
            <v>Order</v>
          </cell>
          <cell r="N225" t="str">
            <v>Italy</v>
          </cell>
          <cell r="O225" t="str">
            <v>Monteferro</v>
          </cell>
          <cell r="P225"/>
          <cell r="Q225"/>
          <cell r="R225"/>
        </row>
        <row r="226">
          <cell r="B226">
            <v>220</v>
          </cell>
          <cell r="C226">
            <v>0</v>
          </cell>
          <cell r="D226" t="str">
            <v>Fixation</v>
          </cell>
          <cell r="E226" t="str">
            <v>?</v>
          </cell>
          <cell r="F226">
            <v>46451502021</v>
          </cell>
          <cell r="G226"/>
          <cell r="H226" t="str">
            <v>Планка стыковая Monteferro T90</v>
          </cell>
          <cell r="I226" t="str">
            <v>Monteferro Fishplate T90/B incl. Bolts, Nuts w/o locknuts</v>
          </cell>
          <cell r="J226" t="str">
            <v>шт</v>
          </cell>
          <cell r="K226">
            <v>6</v>
          </cell>
          <cell r="L226"/>
          <cell r="M226" t="str">
            <v>Order</v>
          </cell>
          <cell r="N226" t="str">
            <v>Italy</v>
          </cell>
          <cell r="O226" t="str">
            <v>Monteferro</v>
          </cell>
          <cell r="P226"/>
          <cell r="Q226"/>
          <cell r="R226"/>
        </row>
        <row r="227">
          <cell r="B227">
            <v>221</v>
          </cell>
          <cell r="C227">
            <v>0</v>
          </cell>
          <cell r="D227" t="str">
            <v>Fixation</v>
          </cell>
          <cell r="E227" t="str">
            <v>?</v>
          </cell>
          <cell r="F227">
            <v>46451502022</v>
          </cell>
          <cell r="G227"/>
          <cell r="H227" t="str">
            <v>Планка стыковая Monteferro Т50</v>
          </cell>
          <cell r="I227" t="str">
            <v>Monteferro Fishplate T50/A incl. Bolts, Nuts w/o locknuts</v>
          </cell>
          <cell r="J227" t="str">
            <v>шт</v>
          </cell>
          <cell r="K227">
            <v>6</v>
          </cell>
          <cell r="L227"/>
          <cell r="M227" t="str">
            <v>Order</v>
          </cell>
          <cell r="N227" t="str">
            <v>Italy</v>
          </cell>
          <cell r="O227" t="str">
            <v>Monteferro</v>
          </cell>
          <cell r="P227"/>
          <cell r="Q227"/>
          <cell r="R227"/>
        </row>
        <row r="228">
          <cell r="B228">
            <v>222</v>
          </cell>
          <cell r="C228">
            <v>1</v>
          </cell>
          <cell r="D228" t="str">
            <v>Guide rail</v>
          </cell>
          <cell r="E228" t="str">
            <v>ОСП0000598</v>
          </cell>
          <cell r="F228">
            <v>46451508010</v>
          </cell>
          <cell r="G228"/>
          <cell r="H228" t="str">
            <v>Направляющая лифта Т70-1/А, 5,0 м</v>
          </cell>
          <cell r="I228" t="str">
            <v>Guide rail, Omutninsk, Т70-1/А, 5,0 m</v>
          </cell>
          <cell r="J228" t="str">
            <v>шт</v>
          </cell>
          <cell r="K228">
            <v>5</v>
          </cell>
          <cell r="L228"/>
          <cell r="M228" t="str">
            <v>Order</v>
          </cell>
          <cell r="N228" t="str">
            <v>Russia</v>
          </cell>
          <cell r="O228" t="str">
            <v>ОМЗ</v>
          </cell>
          <cell r="P228" t="str">
            <v>4-6 weeks</v>
          </cell>
          <cell r="Q228"/>
          <cell r="R228"/>
        </row>
        <row r="229">
          <cell r="B229">
            <v>223</v>
          </cell>
          <cell r="C229">
            <v>1</v>
          </cell>
          <cell r="D229" t="str">
            <v>Guide rail</v>
          </cell>
          <cell r="E229" t="str">
            <v>ОСП0003940</v>
          </cell>
          <cell r="F229">
            <v>46451508020</v>
          </cell>
          <cell r="G229"/>
          <cell r="H229" t="str">
            <v>Направляющая лифта T90/B, 5,0 м</v>
          </cell>
          <cell r="I229" t="str">
            <v>Guide rail, Omutninsk, T90/B, 5,0 m</v>
          </cell>
          <cell r="J229" t="str">
            <v>шт</v>
          </cell>
          <cell r="K229">
            <v>5</v>
          </cell>
          <cell r="L229"/>
          <cell r="M229" t="str">
            <v>Order</v>
          </cell>
          <cell r="N229" t="str">
            <v>Russia</v>
          </cell>
          <cell r="O229" t="str">
            <v>ОМЗ</v>
          </cell>
          <cell r="P229" t="str">
            <v>4-6 weeks</v>
          </cell>
          <cell r="Q229"/>
          <cell r="R229"/>
        </row>
        <row r="230">
          <cell r="B230">
            <v>224</v>
          </cell>
          <cell r="C230">
            <v>1</v>
          </cell>
          <cell r="D230" t="str">
            <v>Guide rail</v>
          </cell>
          <cell r="E230" t="str">
            <v>ОСП0004419</v>
          </cell>
          <cell r="F230">
            <v>46451508030</v>
          </cell>
          <cell r="G230"/>
          <cell r="H230" t="str">
            <v>Направляющая лифта Т50/А, 5,0 м</v>
          </cell>
          <cell r="I230" t="str">
            <v>Guide rail, Omutninsk, Т50/А, 5,0 m</v>
          </cell>
          <cell r="J230" t="str">
            <v>шт</v>
          </cell>
          <cell r="K230">
            <v>5</v>
          </cell>
          <cell r="L230"/>
          <cell r="M230" t="str">
            <v>Order</v>
          </cell>
          <cell r="N230" t="str">
            <v>Russia</v>
          </cell>
          <cell r="O230" t="str">
            <v>ОМЗ</v>
          </cell>
          <cell r="P230" t="str">
            <v>4-6 weeks</v>
          </cell>
          <cell r="Q230"/>
          <cell r="R230"/>
        </row>
        <row r="231">
          <cell r="B231">
            <v>225</v>
          </cell>
          <cell r="C231">
            <v>1</v>
          </cell>
          <cell r="D231" t="str">
            <v>Guide rail</v>
          </cell>
          <cell r="E231" t="str">
            <v>ОСП0006945</v>
          </cell>
          <cell r="F231">
            <v>46451508011</v>
          </cell>
          <cell r="G231"/>
          <cell r="H231" t="str">
            <v>Направляющая лифта Т70-1/А, 2,5 м</v>
          </cell>
          <cell r="I231" t="str">
            <v>Guide rail, Omutninsk, Т70-1/А, 2,5 m</v>
          </cell>
          <cell r="J231" t="str">
            <v>шт</v>
          </cell>
          <cell r="K231">
            <v>5</v>
          </cell>
          <cell r="L231"/>
          <cell r="M231" t="str">
            <v>Order</v>
          </cell>
          <cell r="N231" t="str">
            <v>Russia</v>
          </cell>
          <cell r="O231" t="str">
            <v>ОМЗ</v>
          </cell>
          <cell r="P231" t="str">
            <v>4-6 weeks</v>
          </cell>
          <cell r="Q231"/>
          <cell r="R231"/>
        </row>
        <row r="232">
          <cell r="B232">
            <v>226</v>
          </cell>
          <cell r="C232">
            <v>1</v>
          </cell>
          <cell r="D232" t="str">
            <v>Guide rail</v>
          </cell>
          <cell r="E232" t="str">
            <v>ОСП0006946</v>
          </cell>
          <cell r="F232">
            <v>46451508021</v>
          </cell>
          <cell r="G232"/>
          <cell r="H232" t="str">
            <v>Направляющая лифта T90/B, 2,5 м</v>
          </cell>
          <cell r="I232" t="str">
            <v>Guide rail, Omutninsk, T90/B, 2,5 m</v>
          </cell>
          <cell r="J232" t="str">
            <v>шт</v>
          </cell>
          <cell r="K232">
            <v>5</v>
          </cell>
          <cell r="L232"/>
          <cell r="M232" t="str">
            <v>Order</v>
          </cell>
          <cell r="N232" t="str">
            <v>Russia</v>
          </cell>
          <cell r="O232" t="str">
            <v>ОМЗ</v>
          </cell>
          <cell r="P232" t="str">
            <v>4-6 weeks</v>
          </cell>
          <cell r="Q232"/>
          <cell r="R232"/>
        </row>
        <row r="233">
          <cell r="B233">
            <v>227</v>
          </cell>
          <cell r="C233">
            <v>1</v>
          </cell>
          <cell r="D233" t="str">
            <v>Guide rail</v>
          </cell>
          <cell r="E233" t="str">
            <v>ОСП0006947</v>
          </cell>
          <cell r="F233">
            <v>46451508031</v>
          </cell>
          <cell r="G233"/>
          <cell r="H233" t="str">
            <v>Направляющая лифта Т50/А, 2,5 м</v>
          </cell>
          <cell r="I233" t="str">
            <v>Guide rail, Omutninsk, Т50/А, 2,5 m</v>
          </cell>
          <cell r="J233" t="str">
            <v>шт</v>
          </cell>
          <cell r="K233">
            <v>5</v>
          </cell>
          <cell r="L233"/>
          <cell r="M233" t="str">
            <v>Order</v>
          </cell>
          <cell r="N233" t="str">
            <v>Russia</v>
          </cell>
          <cell r="O233" t="str">
            <v>ОМЗ</v>
          </cell>
          <cell r="P233" t="str">
            <v>4-6 weeks</v>
          </cell>
          <cell r="Q233"/>
          <cell r="R233"/>
        </row>
        <row r="234">
          <cell r="B234">
            <v>228</v>
          </cell>
          <cell r="C234">
            <v>1</v>
          </cell>
          <cell r="D234" t="str">
            <v>Guide rail</v>
          </cell>
          <cell r="E234" t="str">
            <v>ОСП0001818</v>
          </cell>
          <cell r="F234">
            <v>46451508012</v>
          </cell>
          <cell r="G234"/>
          <cell r="H234" t="str">
            <v>Планка стыковая Т70</v>
          </cell>
          <cell r="I234" t="str">
            <v>Fishplate T70/A Omutninsk</v>
          </cell>
          <cell r="J234" t="str">
            <v>шт</v>
          </cell>
          <cell r="K234">
            <v>6</v>
          </cell>
          <cell r="L234"/>
          <cell r="M234" t="str">
            <v>Order</v>
          </cell>
          <cell r="N234" t="str">
            <v>Russia</v>
          </cell>
          <cell r="O234" t="str">
            <v>ОМЗ</v>
          </cell>
          <cell r="P234" t="str">
            <v>4-6 weeks</v>
          </cell>
          <cell r="Q234"/>
          <cell r="R234"/>
        </row>
        <row r="235">
          <cell r="B235">
            <v>229</v>
          </cell>
          <cell r="C235">
            <v>1</v>
          </cell>
          <cell r="D235" t="str">
            <v>Guide rail</v>
          </cell>
          <cell r="E235" t="str">
            <v>ОСП0005516</v>
          </cell>
          <cell r="F235">
            <v>46451508022</v>
          </cell>
          <cell r="G235"/>
          <cell r="H235" t="str">
            <v>Планка стыковая T90</v>
          </cell>
          <cell r="I235" t="str">
            <v>Fishplate T90/B Omutninsk</v>
          </cell>
          <cell r="J235" t="str">
            <v>шт</v>
          </cell>
          <cell r="K235">
            <v>6</v>
          </cell>
          <cell r="L235"/>
          <cell r="M235" t="str">
            <v>Order</v>
          </cell>
          <cell r="N235" t="str">
            <v>Russia</v>
          </cell>
          <cell r="O235" t="str">
            <v>ОМЗ</v>
          </cell>
          <cell r="P235" t="str">
            <v>4-6 weeks</v>
          </cell>
          <cell r="Q235"/>
          <cell r="R235"/>
        </row>
        <row r="236">
          <cell r="B236">
            <v>230</v>
          </cell>
          <cell r="C236">
            <v>1</v>
          </cell>
          <cell r="D236" t="str">
            <v>Guide rail</v>
          </cell>
          <cell r="E236" t="str">
            <v>ОСП0005351</v>
          </cell>
          <cell r="F236">
            <v>46451508032</v>
          </cell>
          <cell r="G236"/>
          <cell r="H236" t="str">
            <v>Планка стыковая Т50</v>
          </cell>
          <cell r="I236" t="str">
            <v>Fishplate T50/A Omutninsk</v>
          </cell>
          <cell r="J236" t="str">
            <v>шт</v>
          </cell>
          <cell r="K236">
            <v>6</v>
          </cell>
          <cell r="L236"/>
          <cell r="M236" t="str">
            <v>Order</v>
          </cell>
          <cell r="N236" t="str">
            <v>Russia</v>
          </cell>
          <cell r="O236" t="str">
            <v>ОМЗ</v>
          </cell>
          <cell r="P236" t="str">
            <v>4-6 weeks</v>
          </cell>
          <cell r="Q236"/>
          <cell r="R236"/>
        </row>
        <row r="237">
          <cell r="B237">
            <v>231</v>
          </cell>
          <cell r="C237">
            <v>1</v>
          </cell>
          <cell r="D237" t="str">
            <v>Bracket</v>
          </cell>
          <cell r="E237" t="str">
            <v>ОСП0010093</v>
          </cell>
          <cell r="F237">
            <v>46451508040</v>
          </cell>
          <cell r="G237" t="str">
            <v>60100001_00</v>
          </cell>
          <cell r="H237" t="str">
            <v>Консоль крепления направляющих Т70</v>
          </cell>
          <cell r="I237" t="str">
            <v>AY GR retaining console pit T70</v>
          </cell>
          <cell r="J237" t="str">
            <v>шт</v>
          </cell>
          <cell r="K237">
            <v>6</v>
          </cell>
          <cell r="L237"/>
          <cell r="M237" t="str">
            <v>Stock</v>
          </cell>
          <cell r="N237" t="str">
            <v>Russia</v>
          </cell>
          <cell r="O237" t="str">
            <v>Эталон</v>
          </cell>
          <cell r="P237" t="str">
            <v>4-6 weeks</v>
          </cell>
          <cell r="Q237"/>
          <cell r="R237"/>
        </row>
        <row r="238">
          <cell r="B238">
            <v>232</v>
          </cell>
          <cell r="C238">
            <v>1</v>
          </cell>
          <cell r="D238" t="str">
            <v>Bracket</v>
          </cell>
          <cell r="E238" t="str">
            <v>ОСП0010094</v>
          </cell>
          <cell r="F238">
            <v>46451508050</v>
          </cell>
          <cell r="G238" t="str">
            <v>60100005_00</v>
          </cell>
          <cell r="H238" t="str">
            <v>Консоль крепления направляющих Т90</v>
          </cell>
          <cell r="I238" t="str">
            <v>AY GR retaining console pit T90</v>
          </cell>
          <cell r="J238" t="str">
            <v>шт</v>
          </cell>
          <cell r="K238">
            <v>6</v>
          </cell>
          <cell r="L238"/>
          <cell r="M238" t="str">
            <v>Stock</v>
          </cell>
          <cell r="N238" t="str">
            <v>Russia</v>
          </cell>
          <cell r="O238" t="str">
            <v>Эталон</v>
          </cell>
          <cell r="P238" t="str">
            <v>4-6 weeks</v>
          </cell>
          <cell r="Q238"/>
          <cell r="R238"/>
        </row>
        <row r="239">
          <cell r="B239">
            <v>233</v>
          </cell>
          <cell r="C239">
            <v>1</v>
          </cell>
          <cell r="D239" t="str">
            <v>Bracket</v>
          </cell>
          <cell r="E239" t="str">
            <v>ОСП0008133</v>
          </cell>
          <cell r="F239">
            <v>46456606027</v>
          </cell>
          <cell r="G239" t="str">
            <v>6011S001100_00</v>
          </cell>
          <cell r="H239" t="str">
            <v>AY Кронштейн направляющей T70, 60-105 мм</v>
          </cell>
          <cell r="I239" t="str">
            <v>AY GR bracket T70, 60-105 mm</v>
          </cell>
          <cell r="J239" t="str">
            <v>компл</v>
          </cell>
          <cell r="K239">
            <v>3</v>
          </cell>
          <cell r="L239" t="str">
            <v>Assembly</v>
          </cell>
          <cell r="M239" t="str">
            <v>Order</v>
          </cell>
          <cell r="N239" t="str">
            <v>Russia</v>
          </cell>
          <cell r="O239" t="str">
            <v>Сервис-НГТ</v>
          </cell>
          <cell r="P239" t="str">
            <v>4 weeks</v>
          </cell>
          <cell r="Q239"/>
          <cell r="R239"/>
        </row>
        <row r="240">
          <cell r="B240">
            <v>234</v>
          </cell>
          <cell r="C240">
            <v>1</v>
          </cell>
          <cell r="D240" t="str">
            <v>Bracket</v>
          </cell>
          <cell r="E240" t="str">
            <v>ОСП0008131</v>
          </cell>
          <cell r="F240"/>
          <cell r="G240" t="str">
            <v>6011S001100</v>
          </cell>
          <cell r="H240" t="str">
            <v>Кронштейн направляющей T70, 60-105 мм</v>
          </cell>
          <cell r="I240" t="str">
            <v>GR bracket T70, 60-105 mm</v>
          </cell>
          <cell r="J240" t="str">
            <v>шт</v>
          </cell>
          <cell r="K240"/>
          <cell r="L240"/>
          <cell r="M240" t="str">
            <v>Order</v>
          </cell>
          <cell r="N240" t="str">
            <v>Russia</v>
          </cell>
          <cell r="O240" t="str">
            <v>Сервис-НГТ</v>
          </cell>
          <cell r="P240" t="str">
            <v>4 weeks</v>
          </cell>
          <cell r="Q240"/>
          <cell r="R240"/>
        </row>
        <row r="241">
          <cell r="B241">
            <v>235</v>
          </cell>
          <cell r="C241">
            <v>1</v>
          </cell>
          <cell r="D241" t="str">
            <v>Bracket</v>
          </cell>
          <cell r="E241" t="str">
            <v>ОСП0008127</v>
          </cell>
          <cell r="F241">
            <v>46456606023</v>
          </cell>
          <cell r="G241" t="str">
            <v>6011S002000_00</v>
          </cell>
          <cell r="H241" t="str">
            <v>AY Кронштейн направляющей T70, 90-180 мм</v>
          </cell>
          <cell r="I241" t="str">
            <v>AY GR bracket T70, 90-180 mm</v>
          </cell>
          <cell r="J241" t="str">
            <v>компл</v>
          </cell>
          <cell r="K241">
            <v>3</v>
          </cell>
          <cell r="L241" t="str">
            <v>Assembly</v>
          </cell>
          <cell r="M241" t="str">
            <v>Order</v>
          </cell>
          <cell r="N241" t="str">
            <v>Russia</v>
          </cell>
          <cell r="O241" t="str">
            <v>Сервис-НГТ</v>
          </cell>
          <cell r="P241" t="str">
            <v>4 weeks</v>
          </cell>
          <cell r="Q241"/>
          <cell r="R241"/>
        </row>
        <row r="242">
          <cell r="B242">
            <v>236</v>
          </cell>
          <cell r="C242">
            <v>1</v>
          </cell>
          <cell r="D242" t="str">
            <v>Bracket</v>
          </cell>
          <cell r="E242" t="str">
            <v>ОСП0008125</v>
          </cell>
          <cell r="F242"/>
          <cell r="G242" t="str">
            <v>6011S002000</v>
          </cell>
          <cell r="H242" t="str">
            <v>Кронштейн направляющей T70, 90-180 мм</v>
          </cell>
          <cell r="I242" t="str">
            <v>GR bracket T70, 90-180 mm</v>
          </cell>
          <cell r="J242" t="str">
            <v>шт</v>
          </cell>
          <cell r="K242"/>
          <cell r="L242"/>
          <cell r="M242" t="str">
            <v>Order</v>
          </cell>
          <cell r="N242" t="str">
            <v>Russia</v>
          </cell>
          <cell r="O242" t="str">
            <v>Сервис-НГТ</v>
          </cell>
          <cell r="P242" t="str">
            <v>4 weeks</v>
          </cell>
          <cell r="Q242"/>
          <cell r="R242"/>
        </row>
        <row r="243">
          <cell r="B243">
            <v>237</v>
          </cell>
          <cell r="C243">
            <v>1</v>
          </cell>
          <cell r="D243" t="str">
            <v>Bracket</v>
          </cell>
          <cell r="E243" t="str">
            <v>ОСП0008130</v>
          </cell>
          <cell r="F243">
            <v>46456606025</v>
          </cell>
          <cell r="G243" t="str">
            <v>6011S002100_00</v>
          </cell>
          <cell r="H243" t="str">
            <v>AY Кронштейн направляющей T70, 155-235 мм</v>
          </cell>
          <cell r="I243" t="str">
            <v>AY GR bracket T70, 155-235 mm</v>
          </cell>
          <cell r="J243" t="str">
            <v>компл</v>
          </cell>
          <cell r="K243">
            <v>3</v>
          </cell>
          <cell r="L243" t="str">
            <v>Assembly</v>
          </cell>
          <cell r="M243" t="str">
            <v>Order</v>
          </cell>
          <cell r="N243" t="str">
            <v>Russia</v>
          </cell>
          <cell r="O243" t="str">
            <v>Сервис-НГТ</v>
          </cell>
          <cell r="P243" t="str">
            <v>4 weeks</v>
          </cell>
          <cell r="Q243"/>
          <cell r="R243"/>
        </row>
        <row r="244">
          <cell r="B244">
            <v>238</v>
          </cell>
          <cell r="C244">
            <v>1</v>
          </cell>
          <cell r="D244" t="str">
            <v>Bracket</v>
          </cell>
          <cell r="E244" t="str">
            <v>ОСП0008128</v>
          </cell>
          <cell r="F244"/>
          <cell r="G244" t="str">
            <v>6011S002100</v>
          </cell>
          <cell r="H244" t="str">
            <v>Кронштейн направляющей T70, 155-235 мм</v>
          </cell>
          <cell r="I244" t="str">
            <v>GR bracket T70, 155-235 mm</v>
          </cell>
          <cell r="J244" t="str">
            <v>шт</v>
          </cell>
          <cell r="K244"/>
          <cell r="L244"/>
          <cell r="M244" t="str">
            <v>Order</v>
          </cell>
          <cell r="N244" t="str">
            <v>Russia</v>
          </cell>
          <cell r="O244" t="str">
            <v>Сервис-НГТ</v>
          </cell>
          <cell r="P244" t="str">
            <v>4 weeks</v>
          </cell>
          <cell r="Q244"/>
          <cell r="R244"/>
        </row>
        <row r="245">
          <cell r="B245">
            <v>239</v>
          </cell>
          <cell r="C245">
            <v>1</v>
          </cell>
          <cell r="D245" t="str">
            <v>Bracket</v>
          </cell>
          <cell r="E245" t="str">
            <v>ОСП0009725</v>
          </cell>
          <cell r="F245">
            <v>46456606032</v>
          </cell>
          <cell r="G245" t="str">
            <v>60110001_00</v>
          </cell>
          <cell r="H245" t="str">
            <v>AY Кронштейн направляющей T70, 185-265 мм</v>
          </cell>
          <cell r="I245" t="str">
            <v>AY GR bracket T70, 185-265 mm</v>
          </cell>
          <cell r="J245" t="str">
            <v>шт</v>
          </cell>
          <cell r="K245">
            <v>3</v>
          </cell>
          <cell r="L245" t="str">
            <v>Assembly</v>
          </cell>
          <cell r="M245" t="str">
            <v>Order</v>
          </cell>
          <cell r="N245" t="str">
            <v>Russia</v>
          </cell>
          <cell r="O245" t="str">
            <v>Сервис-НГТ</v>
          </cell>
          <cell r="P245" t="str">
            <v>4 weeks</v>
          </cell>
          <cell r="Q245"/>
          <cell r="R245"/>
        </row>
        <row r="246">
          <cell r="B246">
            <v>240</v>
          </cell>
          <cell r="C246">
            <v>1</v>
          </cell>
          <cell r="D246" t="str">
            <v>Bracket</v>
          </cell>
          <cell r="E246" t="str">
            <v>ОСП0009728</v>
          </cell>
          <cell r="F246"/>
          <cell r="G246" t="str">
            <v>60110001</v>
          </cell>
          <cell r="H246" t="str">
            <v>Кронштейн направляющей T70, 185-265 мм</v>
          </cell>
          <cell r="I246" t="str">
            <v>GR bracket T70, 185-265 mm</v>
          </cell>
          <cell r="J246" t="str">
            <v>шт</v>
          </cell>
          <cell r="K246"/>
          <cell r="L246"/>
          <cell r="M246" t="str">
            <v>Order</v>
          </cell>
          <cell r="N246" t="str">
            <v>Russia</v>
          </cell>
          <cell r="O246" t="str">
            <v>Сервис-НГТ</v>
          </cell>
          <cell r="P246" t="str">
            <v>4 weeks</v>
          </cell>
          <cell r="Q246"/>
          <cell r="R246"/>
        </row>
        <row r="247">
          <cell r="B247">
            <v>241</v>
          </cell>
          <cell r="C247">
            <v>1</v>
          </cell>
          <cell r="D247" t="str">
            <v>Bracket</v>
          </cell>
          <cell r="E247" t="str">
            <v>ОСП0009936</v>
          </cell>
          <cell r="F247">
            <v>46456606034</v>
          </cell>
          <cell r="G247" t="str">
            <v>60110003_00</v>
          </cell>
          <cell r="H247" t="str">
            <v>AY Кронштейн направляющей T70, 270-360 мм</v>
          </cell>
          <cell r="I247" t="str">
            <v>AY GR bracket T70, 270-360 mm</v>
          </cell>
          <cell r="J247" t="str">
            <v>компл</v>
          </cell>
          <cell r="K247">
            <v>3</v>
          </cell>
          <cell r="L247" t="str">
            <v>Assembly</v>
          </cell>
          <cell r="M247" t="str">
            <v>Order</v>
          </cell>
          <cell r="N247" t="str">
            <v>Russia</v>
          </cell>
          <cell r="O247" t="str">
            <v>Сервис-НГТ</v>
          </cell>
          <cell r="P247" t="str">
            <v>4 weeks</v>
          </cell>
          <cell r="Q247"/>
          <cell r="R247"/>
        </row>
        <row r="248">
          <cell r="B248">
            <v>242</v>
          </cell>
          <cell r="C248">
            <v>1</v>
          </cell>
          <cell r="D248" t="str">
            <v>Bracket</v>
          </cell>
          <cell r="E248" t="str">
            <v>ОСП0009938</v>
          </cell>
          <cell r="F248"/>
          <cell r="G248" t="str">
            <v>60110003</v>
          </cell>
          <cell r="H248" t="str">
            <v>Кронштейн направляющей T70, 270-360 мм</v>
          </cell>
          <cell r="I248" t="str">
            <v>GR bracket T70, 270-360 mm</v>
          </cell>
          <cell r="J248" t="str">
            <v>шт</v>
          </cell>
          <cell r="K248"/>
          <cell r="L248"/>
          <cell r="M248" t="str">
            <v>Order</v>
          </cell>
          <cell r="N248" t="str">
            <v>Russia</v>
          </cell>
          <cell r="O248" t="str">
            <v>Сервис-НГТ</v>
          </cell>
          <cell r="P248" t="str">
            <v>4 weeks</v>
          </cell>
          <cell r="Q248"/>
          <cell r="R248"/>
        </row>
        <row r="249">
          <cell r="B249">
            <v>243</v>
          </cell>
          <cell r="C249">
            <v>1</v>
          </cell>
          <cell r="D249" t="str">
            <v>Bracket</v>
          </cell>
          <cell r="E249" t="str">
            <v>ОСП0008136</v>
          </cell>
          <cell r="F249">
            <v>46456606029</v>
          </cell>
          <cell r="G249" t="str">
            <v>60114600100_00</v>
          </cell>
          <cell r="H249" t="str">
            <v>AY Кронштейн направляющей T70 / T50, 265-325 мм</v>
          </cell>
          <cell r="I249" t="str">
            <v>AY GR bracket T70 / T50, 265-325 mm</v>
          </cell>
          <cell r="J249" t="str">
            <v>компл</v>
          </cell>
          <cell r="K249">
            <v>3</v>
          </cell>
          <cell r="L249" t="str">
            <v>Assembly</v>
          </cell>
          <cell r="M249" t="str">
            <v>Order</v>
          </cell>
          <cell r="N249" t="str">
            <v>Russia</v>
          </cell>
          <cell r="O249" t="str">
            <v>Сервис-НГТ</v>
          </cell>
          <cell r="P249" t="str">
            <v>4 weeks</v>
          </cell>
          <cell r="Q249"/>
          <cell r="R249" t="str">
            <v>Предыдущий артикул 6011S004000_00 до 21.03.2017</v>
          </cell>
        </row>
        <row r="250">
          <cell r="B250">
            <v>244</v>
          </cell>
          <cell r="C250">
            <v>1</v>
          </cell>
          <cell r="D250" t="str">
            <v>Bracket</v>
          </cell>
          <cell r="E250" t="str">
            <v>ОСП0008134</v>
          </cell>
          <cell r="F250"/>
          <cell r="G250"/>
          <cell r="H250" t="str">
            <v>Кронштейн направляющей T70 / T50, 265-325 мм</v>
          </cell>
          <cell r="I250" t="str">
            <v>GR bracket T70 / T50, 265-325 mm</v>
          </cell>
          <cell r="J250" t="str">
            <v>шт</v>
          </cell>
          <cell r="K250"/>
          <cell r="L250"/>
          <cell r="M250" t="str">
            <v>Order</v>
          </cell>
          <cell r="N250" t="str">
            <v>Russia</v>
          </cell>
          <cell r="O250" t="str">
            <v>Сервис-НГТ</v>
          </cell>
          <cell r="P250" t="str">
            <v>4 weeks</v>
          </cell>
          <cell r="Q250"/>
          <cell r="R250"/>
        </row>
        <row r="251">
          <cell r="B251">
            <v>245</v>
          </cell>
          <cell r="C251">
            <v>1</v>
          </cell>
          <cell r="D251" t="str">
            <v>Bracket</v>
          </cell>
          <cell r="E251" t="str">
            <v>ОСП0010076</v>
          </cell>
          <cell r="F251">
            <v>46456606038</v>
          </cell>
          <cell r="G251" t="str">
            <v>60114600200_00</v>
          </cell>
          <cell r="H251" t="str">
            <v>AY Кронштейн направляющей T70 / T50, 220-280 мм</v>
          </cell>
          <cell r="I251" t="str">
            <v>AY GR bracket T70 / T50, 220-280 mm</v>
          </cell>
          <cell r="J251" t="str">
            <v>компл</v>
          </cell>
          <cell r="K251">
            <v>3</v>
          </cell>
          <cell r="L251" t="str">
            <v>Assembly</v>
          </cell>
          <cell r="M251" t="str">
            <v>Order</v>
          </cell>
          <cell r="N251" t="str">
            <v>Russia</v>
          </cell>
          <cell r="O251" t="str">
            <v>Сервис-НГТ</v>
          </cell>
          <cell r="P251" t="str">
            <v>4 weeks</v>
          </cell>
          <cell r="Q251"/>
          <cell r="R251" t="str">
            <v>Предыдущий артикул 60110005_00 до 21.03.2017</v>
          </cell>
        </row>
        <row r="252">
          <cell r="B252">
            <v>246</v>
          </cell>
          <cell r="C252">
            <v>1</v>
          </cell>
          <cell r="D252" t="str">
            <v>Bracket</v>
          </cell>
          <cell r="E252" t="str">
            <v>ОСП0010078</v>
          </cell>
          <cell r="F252"/>
          <cell r="G252"/>
          <cell r="H252" t="str">
            <v>Кронштейн направляющей T70 / T50, 220-280 мм</v>
          </cell>
          <cell r="I252" t="str">
            <v>GR bracket T70 / T50, 220-280 mm</v>
          </cell>
          <cell r="J252" t="str">
            <v>шт</v>
          </cell>
          <cell r="K252"/>
          <cell r="L252"/>
          <cell r="M252" t="str">
            <v>Order</v>
          </cell>
          <cell r="N252" t="str">
            <v>Russia</v>
          </cell>
          <cell r="O252" t="str">
            <v>Сервис-НГТ</v>
          </cell>
          <cell r="P252" t="str">
            <v>4 weeks</v>
          </cell>
          <cell r="Q252"/>
          <cell r="R252"/>
        </row>
        <row r="253">
          <cell r="B253">
            <v>247</v>
          </cell>
          <cell r="C253">
            <v>1</v>
          </cell>
          <cell r="D253" t="str">
            <v>Bracket</v>
          </cell>
          <cell r="E253" t="str">
            <v>ОСП0008132</v>
          </cell>
          <cell r="F253">
            <v>46456606026</v>
          </cell>
          <cell r="G253" t="str">
            <v>6011S001100_00</v>
          </cell>
          <cell r="H253" t="str">
            <v>AY Кронштейн направляющей T90, 60-105 мм</v>
          </cell>
          <cell r="I253" t="str">
            <v>AY GR bracket T90, 60-105 mm</v>
          </cell>
          <cell r="J253" t="str">
            <v>компл</v>
          </cell>
          <cell r="K253">
            <v>3</v>
          </cell>
          <cell r="L253" t="str">
            <v>Assembly</v>
          </cell>
          <cell r="M253" t="str">
            <v>Order</v>
          </cell>
          <cell r="N253" t="str">
            <v>Russia</v>
          </cell>
          <cell r="O253" t="str">
            <v>Сервис-НГТ</v>
          </cell>
          <cell r="P253" t="str">
            <v>4 weeks</v>
          </cell>
          <cell r="Q253"/>
          <cell r="R253"/>
        </row>
        <row r="254">
          <cell r="B254">
            <v>248</v>
          </cell>
          <cell r="C254">
            <v>1</v>
          </cell>
          <cell r="D254" t="str">
            <v>Bracket</v>
          </cell>
          <cell r="E254" t="str">
            <v>ОСП0008126</v>
          </cell>
          <cell r="F254">
            <v>46456606022</v>
          </cell>
          <cell r="G254" t="str">
            <v>6011S002000_00</v>
          </cell>
          <cell r="H254" t="str">
            <v>AY Кронштейн направляющей T90, 90-180 мм</v>
          </cell>
          <cell r="I254" t="str">
            <v>AY GR bracket T90, 90-180 mm</v>
          </cell>
          <cell r="J254" t="str">
            <v>компл</v>
          </cell>
          <cell r="K254">
            <v>3</v>
          </cell>
          <cell r="L254" t="str">
            <v>Assembly</v>
          </cell>
          <cell r="M254" t="str">
            <v>Order</v>
          </cell>
          <cell r="N254" t="str">
            <v>Russia</v>
          </cell>
          <cell r="O254" t="str">
            <v>Сервис-НГТ</v>
          </cell>
          <cell r="P254" t="str">
            <v>4 weeks</v>
          </cell>
          <cell r="Q254"/>
          <cell r="R254"/>
        </row>
        <row r="255">
          <cell r="B255">
            <v>249</v>
          </cell>
          <cell r="C255">
            <v>1</v>
          </cell>
          <cell r="D255" t="str">
            <v>Bracket</v>
          </cell>
          <cell r="E255" t="str">
            <v>ОСП0008129</v>
          </cell>
          <cell r="F255">
            <v>46456606024</v>
          </cell>
          <cell r="G255" t="str">
            <v>6011S002100_00</v>
          </cell>
          <cell r="H255" t="str">
            <v>AY Кронштейн направляющей T90, 155-235 мм</v>
          </cell>
          <cell r="I255" t="str">
            <v>AY GR bracket T90, 155-235 mm</v>
          </cell>
          <cell r="J255" t="str">
            <v>компл</v>
          </cell>
          <cell r="K255">
            <v>3</v>
          </cell>
          <cell r="L255" t="str">
            <v>Assembly</v>
          </cell>
          <cell r="M255" t="str">
            <v>Order</v>
          </cell>
          <cell r="N255" t="str">
            <v>Russia</v>
          </cell>
          <cell r="O255" t="str">
            <v>Сервис-НГТ</v>
          </cell>
          <cell r="P255" t="str">
            <v>4 weeks</v>
          </cell>
          <cell r="Q255"/>
          <cell r="R255"/>
        </row>
        <row r="256">
          <cell r="B256">
            <v>250</v>
          </cell>
          <cell r="C256">
            <v>1</v>
          </cell>
          <cell r="D256" t="str">
            <v>Bracket</v>
          </cell>
          <cell r="E256" t="str">
            <v>ОСП0010099</v>
          </cell>
          <cell r="F256">
            <v>46456606039</v>
          </cell>
          <cell r="G256" t="str">
            <v>60110001_00</v>
          </cell>
          <cell r="H256" t="str">
            <v>AY Кронштейн направляющей T90, 185-265 мм</v>
          </cell>
          <cell r="I256" t="str">
            <v>AY GR bracket T90, 185-265 mm</v>
          </cell>
          <cell r="J256" t="str">
            <v>шт</v>
          </cell>
          <cell r="K256">
            <v>3</v>
          </cell>
          <cell r="L256" t="str">
            <v>Assembly</v>
          </cell>
          <cell r="M256" t="str">
            <v>Order</v>
          </cell>
          <cell r="N256" t="str">
            <v>Russia</v>
          </cell>
          <cell r="O256" t="str">
            <v>Сервис-НГТ</v>
          </cell>
          <cell r="P256" t="str">
            <v>4 weeks</v>
          </cell>
          <cell r="Q256"/>
          <cell r="R256"/>
        </row>
        <row r="257">
          <cell r="B257">
            <v>251</v>
          </cell>
          <cell r="C257">
            <v>1</v>
          </cell>
          <cell r="D257" t="str">
            <v>Bracket</v>
          </cell>
          <cell r="E257" t="str">
            <v>ОСП0010098</v>
          </cell>
          <cell r="F257"/>
          <cell r="G257" t="str">
            <v>60110001</v>
          </cell>
          <cell r="H257" t="str">
            <v>Кронштейн направляющей T90, 185-265 мм</v>
          </cell>
          <cell r="I257" t="str">
            <v>GR bracket T90, 185-265 mm</v>
          </cell>
          <cell r="J257" t="str">
            <v>шт</v>
          </cell>
          <cell r="K257"/>
          <cell r="L257"/>
          <cell r="M257" t="str">
            <v>Order</v>
          </cell>
          <cell r="N257" t="str">
            <v>Russia</v>
          </cell>
          <cell r="O257" t="str">
            <v>Сервис-НГТ</v>
          </cell>
          <cell r="P257" t="str">
            <v>4 weeks</v>
          </cell>
          <cell r="Q257"/>
          <cell r="R257"/>
        </row>
        <row r="258">
          <cell r="B258">
            <v>252</v>
          </cell>
          <cell r="C258">
            <v>1</v>
          </cell>
          <cell r="D258" t="str">
            <v>Bracket</v>
          </cell>
          <cell r="E258" t="str">
            <v>ОСП0009937</v>
          </cell>
          <cell r="F258">
            <v>46456606035</v>
          </cell>
          <cell r="G258" t="str">
            <v>60110003_00</v>
          </cell>
          <cell r="H258" t="str">
            <v>AY Кронштейн направляющей T90, 270-360 мм</v>
          </cell>
          <cell r="I258" t="str">
            <v>AY GR bracket T90, 270-360 mm</v>
          </cell>
          <cell r="J258" t="str">
            <v>компл</v>
          </cell>
          <cell r="K258">
            <v>3</v>
          </cell>
          <cell r="L258" t="str">
            <v>Assembly</v>
          </cell>
          <cell r="M258" t="str">
            <v>Order</v>
          </cell>
          <cell r="N258" t="str">
            <v>Russia</v>
          </cell>
          <cell r="O258" t="str">
            <v>Сервис-НГТ</v>
          </cell>
          <cell r="P258" t="str">
            <v>4 weeks</v>
          </cell>
          <cell r="Q258"/>
          <cell r="R258"/>
        </row>
        <row r="259">
          <cell r="B259">
            <v>253</v>
          </cell>
          <cell r="C259">
            <v>1</v>
          </cell>
          <cell r="D259" t="str">
            <v>Bracket</v>
          </cell>
          <cell r="E259" t="str">
            <v>ОСП0009939</v>
          </cell>
          <cell r="F259"/>
          <cell r="G259" t="str">
            <v>60110003</v>
          </cell>
          <cell r="H259" t="str">
            <v>Кронштейн направляющей T90, 270-360 мм</v>
          </cell>
          <cell r="I259" t="str">
            <v>GR bracket T90, 270-360 mm</v>
          </cell>
          <cell r="J259" t="str">
            <v>шт</v>
          </cell>
          <cell r="K259"/>
          <cell r="L259"/>
          <cell r="M259" t="str">
            <v>Order</v>
          </cell>
          <cell r="N259" t="str">
            <v>Russia</v>
          </cell>
          <cell r="O259" t="str">
            <v>Сервис-НГТ</v>
          </cell>
          <cell r="P259" t="str">
            <v>4 weeks</v>
          </cell>
          <cell r="Q259"/>
          <cell r="R259"/>
        </row>
        <row r="260">
          <cell r="B260">
            <v>254</v>
          </cell>
          <cell r="C260">
            <v>1</v>
          </cell>
          <cell r="D260" t="str">
            <v>Bracket</v>
          </cell>
          <cell r="E260" t="str">
            <v>ОСП0008135</v>
          </cell>
          <cell r="F260">
            <v>46456606028</v>
          </cell>
          <cell r="G260" t="str">
            <v>60114600100_00</v>
          </cell>
          <cell r="H260" t="str">
            <v>AY Кронштейн направляющей T90 / T50, 265-325 мм</v>
          </cell>
          <cell r="I260" t="str">
            <v>AY GR bracket T90 / T50, 265-325 mm</v>
          </cell>
          <cell r="J260" t="str">
            <v>компл</v>
          </cell>
          <cell r="K260">
            <v>3</v>
          </cell>
          <cell r="L260" t="str">
            <v>Assembly</v>
          </cell>
          <cell r="M260" t="str">
            <v>Order</v>
          </cell>
          <cell r="N260" t="str">
            <v>Russia</v>
          </cell>
          <cell r="O260" t="str">
            <v>Эталон</v>
          </cell>
          <cell r="P260" t="str">
            <v>4 weeks</v>
          </cell>
          <cell r="Q260"/>
          <cell r="R260" t="str">
            <v>Предыдущий артикул 6011S004000_00 до 21.03.2017</v>
          </cell>
        </row>
        <row r="261">
          <cell r="B261">
            <v>255</v>
          </cell>
          <cell r="C261">
            <v>1</v>
          </cell>
          <cell r="D261" t="str">
            <v>Bracket</v>
          </cell>
          <cell r="E261" t="str">
            <v>ОСП0010075</v>
          </cell>
          <cell r="F261">
            <v>46456606037</v>
          </cell>
          <cell r="G261" t="str">
            <v>60114600200_00</v>
          </cell>
          <cell r="H261" t="str">
            <v>AY Кронштейн направляющей T90 / T50, 220-280 мм</v>
          </cell>
          <cell r="I261" t="str">
            <v>AY GR bracket T90 / T50, 220-280 mm</v>
          </cell>
          <cell r="J261" t="str">
            <v>компл</v>
          </cell>
          <cell r="K261">
            <v>3</v>
          </cell>
          <cell r="L261" t="str">
            <v>Assembly</v>
          </cell>
          <cell r="M261" t="str">
            <v>Order</v>
          </cell>
          <cell r="N261" t="str">
            <v>Russia</v>
          </cell>
          <cell r="O261" t="str">
            <v>Сервис-НГТ</v>
          </cell>
          <cell r="P261" t="str">
            <v>4 weeks</v>
          </cell>
          <cell r="Q261"/>
          <cell r="R261" t="str">
            <v>Предыдущий артикул 60110005_00 до 21.03.2017</v>
          </cell>
        </row>
        <row r="262">
          <cell r="B262">
            <v>256</v>
          </cell>
          <cell r="C262">
            <v>1</v>
          </cell>
          <cell r="D262" t="str">
            <v>Bracket</v>
          </cell>
          <cell r="E262" t="str">
            <v>ОСП0010077</v>
          </cell>
          <cell r="F262"/>
          <cell r="G262"/>
          <cell r="H262" t="str">
            <v>Кронштейн направляющей T90 / T50, 220-280 мм</v>
          </cell>
          <cell r="I262" t="str">
            <v>GR bracket T90 / T50, 220-280 mm</v>
          </cell>
          <cell r="J262" t="str">
            <v>шт</v>
          </cell>
          <cell r="K262"/>
          <cell r="L262"/>
          <cell r="M262" t="str">
            <v>Order</v>
          </cell>
          <cell r="N262" t="str">
            <v>Russia</v>
          </cell>
          <cell r="O262" t="str">
            <v>Сервис-НГТ</v>
          </cell>
          <cell r="P262" t="str">
            <v>4 weeks</v>
          </cell>
          <cell r="Q262"/>
          <cell r="R262"/>
        </row>
        <row r="263">
          <cell r="B263">
            <v>257</v>
          </cell>
          <cell r="C263">
            <v>1</v>
          </cell>
          <cell r="D263" t="str">
            <v>Bracket</v>
          </cell>
          <cell r="E263" t="str">
            <v>ОСП0008138</v>
          </cell>
          <cell r="F263">
            <v>46456606030</v>
          </cell>
          <cell r="G263" t="str">
            <v>6011S003000_00</v>
          </cell>
          <cell r="H263" t="str">
            <v>AY Кронштейн направляющей T50, 105-230 мм</v>
          </cell>
          <cell r="I263" t="str">
            <v>AY GR bracket T50, 105-230 mm</v>
          </cell>
          <cell r="J263" t="str">
            <v>компл</v>
          </cell>
          <cell r="K263">
            <v>3</v>
          </cell>
          <cell r="L263" t="str">
            <v>Assembly</v>
          </cell>
          <cell r="M263" t="str">
            <v>Order</v>
          </cell>
          <cell r="N263" t="str">
            <v>Russia</v>
          </cell>
          <cell r="O263" t="str">
            <v>Сервис-НГТ</v>
          </cell>
          <cell r="P263" t="str">
            <v>4 weeks</v>
          </cell>
          <cell r="Q263"/>
          <cell r="R263"/>
        </row>
        <row r="264">
          <cell r="B264">
            <v>258</v>
          </cell>
          <cell r="C264">
            <v>1</v>
          </cell>
          <cell r="D264" t="str">
            <v>Bracket</v>
          </cell>
          <cell r="E264" t="str">
            <v>ОСП0008137</v>
          </cell>
          <cell r="F264"/>
          <cell r="G264" t="str">
            <v>6011S003000</v>
          </cell>
          <cell r="H264" t="str">
            <v>Кронштейн направляющей T50, 105-230 мм</v>
          </cell>
          <cell r="I264" t="str">
            <v>GR bracket T50, 105-230 mm</v>
          </cell>
          <cell r="J264" t="str">
            <v>шт</v>
          </cell>
          <cell r="K264"/>
          <cell r="L264"/>
          <cell r="M264" t="str">
            <v>Order</v>
          </cell>
          <cell r="N264" t="str">
            <v>Russia</v>
          </cell>
          <cell r="O264" t="str">
            <v>Сервис-НГТ</v>
          </cell>
          <cell r="P264" t="str">
            <v>4 weeks</v>
          </cell>
          <cell r="Q264"/>
          <cell r="R264"/>
        </row>
        <row r="265">
          <cell r="B265">
            <v>259</v>
          </cell>
          <cell r="C265">
            <v>1</v>
          </cell>
          <cell r="D265" t="str">
            <v>Bracket</v>
          </cell>
          <cell r="E265" t="str">
            <v>ОСП0010059</v>
          </cell>
          <cell r="F265">
            <v>46456606036</v>
          </cell>
          <cell r="G265" t="str">
            <v>6011S003100_01</v>
          </cell>
          <cell r="H265" t="str">
            <v>AY Кронштейн направляющей T50, 195-328 мм</v>
          </cell>
          <cell r="I265" t="str">
            <v>AY GR bracket T50, 195-328 mm</v>
          </cell>
          <cell r="J265" t="str">
            <v>компл</v>
          </cell>
          <cell r="K265">
            <v>3</v>
          </cell>
          <cell r="L265" t="str">
            <v>Assembly</v>
          </cell>
          <cell r="M265" t="str">
            <v>Order</v>
          </cell>
          <cell r="N265" t="str">
            <v>Russia</v>
          </cell>
          <cell r="O265" t="str">
            <v>Сервис-НГТ</v>
          </cell>
          <cell r="P265" t="str">
            <v>4 weeks</v>
          </cell>
          <cell r="Q265"/>
          <cell r="R265"/>
        </row>
        <row r="266">
          <cell r="B266">
            <v>260</v>
          </cell>
          <cell r="C266">
            <v>1</v>
          </cell>
          <cell r="D266" t="str">
            <v>Bracket</v>
          </cell>
          <cell r="E266" t="str">
            <v>ОСП0010058</v>
          </cell>
          <cell r="F266"/>
          <cell r="G266" t="str">
            <v>6011S003100</v>
          </cell>
          <cell r="H266" t="str">
            <v>Кронштейн направляющей T50, 195-328 мм</v>
          </cell>
          <cell r="I266" t="str">
            <v>GR bracket T50, 195-328 mm</v>
          </cell>
          <cell r="J266" t="str">
            <v>шт</v>
          </cell>
          <cell r="K266"/>
          <cell r="L266"/>
          <cell r="M266" t="str">
            <v>Order</v>
          </cell>
          <cell r="N266" t="str">
            <v>Russia</v>
          </cell>
          <cell r="O266" t="str">
            <v>Сервис-НГТ</v>
          </cell>
          <cell r="P266" t="str">
            <v>4 weeks</v>
          </cell>
          <cell r="Q266"/>
          <cell r="R266"/>
        </row>
        <row r="267">
          <cell r="B267">
            <v>261</v>
          </cell>
          <cell r="C267">
            <v>1</v>
          </cell>
          <cell r="D267" t="str">
            <v>Bracket</v>
          </cell>
          <cell r="E267" t="str">
            <v>ОСП0007741</v>
          </cell>
          <cell r="F267">
            <v>46456606011</v>
          </cell>
          <cell r="G267" t="str">
            <v>6011S002000</v>
          </cell>
          <cell r="H267" t="str">
            <v>AY Кронштейн направляющей для кабины Т90</v>
          </cell>
          <cell r="I267" t="str">
            <v>AY GR Bracket car T90 80~170mm incl. Clips, washer</v>
          </cell>
          <cell r="J267" t="str">
            <v>компл</v>
          </cell>
          <cell r="K267">
            <v>3</v>
          </cell>
          <cell r="L267" t="str">
            <v>Assembly</v>
          </cell>
          <cell r="M267" t="str">
            <v>Stock</v>
          </cell>
          <cell r="N267" t="str">
            <v>Russia</v>
          </cell>
          <cell r="O267" t="str">
            <v>Эталон</v>
          </cell>
          <cell r="P267" t="str">
            <v>2 weeks</v>
          </cell>
          <cell r="Q267"/>
          <cell r="R267"/>
        </row>
        <row r="268">
          <cell r="B268">
            <v>262</v>
          </cell>
          <cell r="C268">
            <v>1</v>
          </cell>
          <cell r="D268" t="str">
            <v>Bracket</v>
          </cell>
          <cell r="E268" t="str">
            <v>ОСП0005924</v>
          </cell>
          <cell r="F268"/>
          <cell r="G268" t="str">
            <v>6011S002000</v>
          </cell>
          <cell r="H268" t="str">
            <v>Кронштейн направляющей для кабины Т90</v>
          </cell>
          <cell r="I268" t="str">
            <v>AY GR Bracket car T90 80~170mm  incl. Clips, washer</v>
          </cell>
          <cell r="J268" t="str">
            <v>шт</v>
          </cell>
          <cell r="K268"/>
          <cell r="L268"/>
          <cell r="M268" t="str">
            <v>Stock</v>
          </cell>
          <cell r="N268" t="str">
            <v>Russia</v>
          </cell>
          <cell r="O268" t="str">
            <v>Эталон</v>
          </cell>
          <cell r="P268" t="str">
            <v>2 weeks</v>
          </cell>
          <cell r="Q268"/>
          <cell r="R268"/>
        </row>
        <row r="269">
          <cell r="B269">
            <v>263</v>
          </cell>
          <cell r="C269">
            <v>0</v>
          </cell>
          <cell r="D269" t="str">
            <v>Bracket</v>
          </cell>
          <cell r="E269" t="str">
            <v>ОСП0007742</v>
          </cell>
          <cell r="F269">
            <v>46456606012</v>
          </cell>
          <cell r="G269" t="str">
            <v>6011S002100</v>
          </cell>
          <cell r="H269" t="str">
            <v>AY Кронштейн крепления направляющих T90 145 ~ 225 mm</v>
          </cell>
          <cell r="I269" t="str">
            <v>AY GR Bracket car T90 145 ~ 225 mm incl. Clips, washer</v>
          </cell>
          <cell r="J269" t="str">
            <v>компл</v>
          </cell>
          <cell r="K269">
            <v>3</v>
          </cell>
          <cell r="L269" t="str">
            <v>Assembly</v>
          </cell>
          <cell r="M269" t="str">
            <v>Stock</v>
          </cell>
          <cell r="N269" t="str">
            <v>Russia</v>
          </cell>
          <cell r="O269" t="str">
            <v>Эталон</v>
          </cell>
          <cell r="P269" t="str">
            <v>2 weeks</v>
          </cell>
          <cell r="Q269"/>
          <cell r="R269"/>
        </row>
        <row r="270">
          <cell r="B270">
            <v>264</v>
          </cell>
          <cell r="C270">
            <v>0</v>
          </cell>
          <cell r="D270" t="str">
            <v>Bracket</v>
          </cell>
          <cell r="E270" t="str">
            <v>ОСП0006921</v>
          </cell>
          <cell r="F270"/>
          <cell r="G270" t="str">
            <v>6011S002100</v>
          </cell>
          <cell r="H270" t="str">
            <v>Кронштейн крепления направляющих T90 145 ~ 225 mm</v>
          </cell>
          <cell r="I270" t="str">
            <v>AY GR Bracket car T90 145 ~ 225 mm incl. Clips, washer</v>
          </cell>
          <cell r="J270" t="str">
            <v>шт</v>
          </cell>
          <cell r="K270"/>
          <cell r="L270"/>
          <cell r="M270" t="str">
            <v>Stock</v>
          </cell>
          <cell r="N270" t="str">
            <v>Russia</v>
          </cell>
          <cell r="O270" t="str">
            <v>Эталон</v>
          </cell>
          <cell r="P270" t="str">
            <v>2 weeks</v>
          </cell>
          <cell r="Q270"/>
          <cell r="R270"/>
        </row>
        <row r="271">
          <cell r="B271">
            <v>265</v>
          </cell>
          <cell r="C271">
            <v>1</v>
          </cell>
          <cell r="D271" t="str">
            <v>Bracket</v>
          </cell>
          <cell r="E271" t="str">
            <v>ОСП0007740</v>
          </cell>
          <cell r="F271">
            <v>46456606014</v>
          </cell>
          <cell r="G271" t="str">
            <v>6011S001000</v>
          </cell>
          <cell r="H271" t="str">
            <v>AY Кронштейн направляющей T70, 115-175 мм</v>
          </cell>
          <cell r="I271" t="str">
            <v>AY GR bracket T70, 115-175 mm</v>
          </cell>
          <cell r="J271" t="str">
            <v>компл</v>
          </cell>
          <cell r="K271">
            <v>3</v>
          </cell>
          <cell r="L271" t="str">
            <v>Assembly</v>
          </cell>
          <cell r="M271" t="str">
            <v>Stock</v>
          </cell>
          <cell r="N271" t="str">
            <v>Russia</v>
          </cell>
          <cell r="O271" t="str">
            <v>Эталон</v>
          </cell>
          <cell r="P271" t="str">
            <v>2 weeks</v>
          </cell>
          <cell r="Q271"/>
          <cell r="R271"/>
        </row>
        <row r="272">
          <cell r="B272">
            <v>266</v>
          </cell>
          <cell r="C272">
            <v>1</v>
          </cell>
          <cell r="D272" t="str">
            <v>Bracket</v>
          </cell>
          <cell r="E272" t="str">
            <v>ОСП0005931</v>
          </cell>
          <cell r="F272"/>
          <cell r="G272" t="str">
            <v>6011S001000</v>
          </cell>
          <cell r="H272" t="str">
            <v>Кронштейн направляющей T70, 115-175 мм</v>
          </cell>
          <cell r="I272" t="str">
            <v>GR bracket T70, 115-175 mm</v>
          </cell>
          <cell r="J272" t="str">
            <v>шт</v>
          </cell>
          <cell r="K272"/>
          <cell r="L272"/>
          <cell r="M272" t="str">
            <v>Stock</v>
          </cell>
          <cell r="N272" t="str">
            <v>Russia</v>
          </cell>
          <cell r="O272" t="str">
            <v>Эталон</v>
          </cell>
          <cell r="P272" t="str">
            <v>2 weeks</v>
          </cell>
          <cell r="Q272"/>
          <cell r="R272"/>
        </row>
        <row r="273">
          <cell r="B273">
            <v>267</v>
          </cell>
          <cell r="C273">
            <v>0</v>
          </cell>
          <cell r="D273" t="str">
            <v>Bracket</v>
          </cell>
          <cell r="E273" t="str">
            <v>ОСП0007695</v>
          </cell>
          <cell r="F273">
            <v>46456606021</v>
          </cell>
          <cell r="G273" t="str">
            <v>6011S003000</v>
          </cell>
          <cell r="H273" t="str">
            <v>AY Кронштейн направляющей для противовеса Т50 150 ~ 210 mm</v>
          </cell>
          <cell r="I273" t="str">
            <v>AY GR Bracket CW T50 150 ~ 210 mm incl. Clips, washer</v>
          </cell>
          <cell r="J273" t="str">
            <v>компл</v>
          </cell>
          <cell r="K273">
            <v>3</v>
          </cell>
          <cell r="L273" t="str">
            <v>Assembly</v>
          </cell>
          <cell r="M273" t="str">
            <v>Stock</v>
          </cell>
          <cell r="N273" t="str">
            <v>Russia</v>
          </cell>
          <cell r="O273" t="str">
            <v>Эталон</v>
          </cell>
          <cell r="P273" t="str">
            <v>2 weeks</v>
          </cell>
          <cell r="Q273"/>
          <cell r="R273"/>
        </row>
        <row r="274">
          <cell r="B274">
            <v>268</v>
          </cell>
          <cell r="C274">
            <v>0</v>
          </cell>
          <cell r="D274" t="str">
            <v>Bracket</v>
          </cell>
          <cell r="E274" t="str">
            <v>ОСП0005925</v>
          </cell>
          <cell r="F274"/>
          <cell r="G274" t="str">
            <v>6011S003000</v>
          </cell>
          <cell r="H274" t="str">
            <v>Кронштейн направляющей для противовеса Т50 150 ~ 210 mm</v>
          </cell>
          <cell r="I274" t="str">
            <v>GR Bracket CW T50 150 ~ 210 mm incl. Clips, washer</v>
          </cell>
          <cell r="J274" t="str">
            <v>шт</v>
          </cell>
          <cell r="K274"/>
          <cell r="L274"/>
          <cell r="M274" t="str">
            <v>Stock</v>
          </cell>
          <cell r="N274" t="str">
            <v>Russia</v>
          </cell>
          <cell r="O274" t="str">
            <v>Эталон</v>
          </cell>
          <cell r="P274" t="str">
            <v>2 weeks</v>
          </cell>
          <cell r="Q274"/>
          <cell r="R274"/>
        </row>
        <row r="275">
          <cell r="B275">
            <v>269</v>
          </cell>
          <cell r="C275">
            <v>0</v>
          </cell>
          <cell r="D275" t="str">
            <v>Bracket</v>
          </cell>
          <cell r="E275" t="str">
            <v>ОСП0008818</v>
          </cell>
          <cell r="F275">
            <v>46456606015</v>
          </cell>
          <cell r="G275" t="str">
            <v>6011S002110</v>
          </cell>
          <cell r="H275" t="str">
            <v>AY Кронштейн направляющей для кабины Т70</v>
          </cell>
          <cell r="I275" t="str">
            <v>AY GR Bracket car T70 145 ~ 225 mm incl. Clips, washer</v>
          </cell>
          <cell r="J275" t="str">
            <v>компл</v>
          </cell>
          <cell r="K275">
            <v>3</v>
          </cell>
          <cell r="L275" t="str">
            <v>Assembly</v>
          </cell>
          <cell r="M275" t="str">
            <v>Order</v>
          </cell>
          <cell r="N275" t="str">
            <v>Russia</v>
          </cell>
          <cell r="O275" t="str">
            <v>Сервис-НГТ</v>
          </cell>
          <cell r="P275" t="str">
            <v>4 weeks</v>
          </cell>
          <cell r="Q275"/>
          <cell r="R275"/>
        </row>
        <row r="276">
          <cell r="B276">
            <v>270</v>
          </cell>
          <cell r="C276">
            <v>0</v>
          </cell>
          <cell r="D276" t="str">
            <v>Bracket</v>
          </cell>
          <cell r="E276" t="str">
            <v>ОСП0007697</v>
          </cell>
          <cell r="F276"/>
          <cell r="G276" t="str">
            <v>6011S002110</v>
          </cell>
          <cell r="H276" t="str">
            <v>Кронштейн направляющей для кабины Т70</v>
          </cell>
          <cell r="I276" t="str">
            <v>Car rail bracket T70 (6011 S00 2110)</v>
          </cell>
          <cell r="J276" t="str">
            <v>шт</v>
          </cell>
          <cell r="K276"/>
          <cell r="L276"/>
          <cell r="M276" t="str">
            <v>Order</v>
          </cell>
          <cell r="N276" t="str">
            <v>Russia</v>
          </cell>
          <cell r="O276" t="str">
            <v>Сервис-НГТ</v>
          </cell>
          <cell r="P276" t="str">
            <v>4 weeks</v>
          </cell>
          <cell r="Q276"/>
          <cell r="R276"/>
        </row>
        <row r="277">
          <cell r="B277">
            <v>271</v>
          </cell>
          <cell r="C277">
            <v>0</v>
          </cell>
          <cell r="D277" t="str">
            <v>Bracket</v>
          </cell>
          <cell r="E277" t="str">
            <v>ОСП0007743</v>
          </cell>
          <cell r="F277">
            <v>46456606013</v>
          </cell>
          <cell r="G277" t="str">
            <v>6011S004000</v>
          </cell>
          <cell r="H277" t="str">
            <v>AY Кронштейн регулируемый  car-T70 / CW-T50 235 ~ 295 mm</v>
          </cell>
          <cell r="I277" t="str">
            <v>AY GR Bracket car-T70 / CW-T50 235 ~ 295 mm incl. Clips, washer</v>
          </cell>
          <cell r="J277" t="str">
            <v>компл</v>
          </cell>
          <cell r="K277">
            <v>3</v>
          </cell>
          <cell r="L277" t="str">
            <v>Assembly</v>
          </cell>
          <cell r="M277" t="str">
            <v>Order</v>
          </cell>
          <cell r="N277" t="str">
            <v>Russia</v>
          </cell>
          <cell r="O277" t="str">
            <v>Эталон</v>
          </cell>
          <cell r="P277" t="str">
            <v>2 weeks</v>
          </cell>
          <cell r="Q277"/>
          <cell r="R277"/>
        </row>
        <row r="278">
          <cell r="B278">
            <v>272</v>
          </cell>
          <cell r="C278">
            <v>0</v>
          </cell>
          <cell r="D278" t="str">
            <v>Bracket</v>
          </cell>
          <cell r="E278" t="str">
            <v>ОСП0005926</v>
          </cell>
          <cell r="F278"/>
          <cell r="G278" t="str">
            <v>6011S004000</v>
          </cell>
          <cell r="H278" t="str">
            <v>Кронштейн регулируемый  car-T70 / CW-T50 235 ~ 295 mm</v>
          </cell>
          <cell r="I278" t="str">
            <v>AY GR Bracket car-T70 / CW-T50 235 ~ 295 mm  incl. Clips, washer</v>
          </cell>
          <cell r="J278" t="str">
            <v>шт</v>
          </cell>
          <cell r="K278"/>
          <cell r="L278"/>
          <cell r="M278" t="str">
            <v>Order</v>
          </cell>
          <cell r="N278" t="str">
            <v>Russia</v>
          </cell>
          <cell r="O278" t="str">
            <v>Эталон</v>
          </cell>
          <cell r="P278" t="str">
            <v>2 weeks</v>
          </cell>
          <cell r="Q278"/>
          <cell r="R278"/>
        </row>
        <row r="279">
          <cell r="B279">
            <v>273</v>
          </cell>
          <cell r="C279">
            <v>1</v>
          </cell>
          <cell r="D279" t="str">
            <v>Bracket</v>
          </cell>
          <cell r="E279" t="str">
            <v>ОСП0009724</v>
          </cell>
          <cell r="F279">
            <v>46456606033</v>
          </cell>
          <cell r="G279" t="str">
            <v>60114600100_00</v>
          </cell>
          <cell r="H279" t="str">
            <v>AY Кронштейн направляющей T70 / T50 (соосный), 265-325 мм</v>
          </cell>
          <cell r="I279" t="str">
            <v>AY GR bracket T70 / T50 (coaxial), 265-325 mm</v>
          </cell>
          <cell r="J279" t="str">
            <v>компл</v>
          </cell>
          <cell r="K279">
            <v>3</v>
          </cell>
          <cell r="L279" t="str">
            <v>Assembly</v>
          </cell>
          <cell r="M279" t="str">
            <v>Order</v>
          </cell>
          <cell r="N279" t="str">
            <v>Russia</v>
          </cell>
          <cell r="O279" t="str">
            <v>Эталон</v>
          </cell>
          <cell r="P279" t="str">
            <v>4 weeks</v>
          </cell>
          <cell r="Q279"/>
          <cell r="R279"/>
        </row>
        <row r="280">
          <cell r="B280">
            <v>274</v>
          </cell>
          <cell r="C280">
            <v>1</v>
          </cell>
          <cell r="D280" t="str">
            <v>Bracket</v>
          </cell>
          <cell r="E280" t="str">
            <v>ОСП0009729</v>
          </cell>
          <cell r="F280"/>
          <cell r="G280"/>
          <cell r="H280" t="str">
            <v>Кронштейн направляющей T70 / T50 (соосный), 265-325 мм</v>
          </cell>
          <cell r="I280" t="str">
            <v>GR bracket T70 / T50 (coaxial), 265-325 mm</v>
          </cell>
          <cell r="J280" t="str">
            <v>шт</v>
          </cell>
          <cell r="K280"/>
          <cell r="L280"/>
          <cell r="M280" t="str">
            <v>Order</v>
          </cell>
          <cell r="N280" t="str">
            <v>Russia</v>
          </cell>
          <cell r="O280" t="str">
            <v>Эталон</v>
          </cell>
          <cell r="P280" t="str">
            <v>4 weeks</v>
          </cell>
          <cell r="Q280"/>
          <cell r="R280"/>
        </row>
        <row r="281">
          <cell r="B281">
            <v>275</v>
          </cell>
          <cell r="C281">
            <v>1</v>
          </cell>
          <cell r="D281" t="str">
            <v>Traction machine</v>
          </cell>
          <cell r="E281" t="str">
            <v>ОСП0005533</v>
          </cell>
          <cell r="F281">
            <v>40451504010</v>
          </cell>
          <cell r="G281" t="str">
            <v>62310003843C</v>
          </cell>
          <cell r="H281" t="str">
            <v>AY Лебедка редукторная TW45</v>
          </cell>
          <cell r="I281" t="str">
            <v>AY TM TW45 hor.R 32:1 TSD520-6xd8-V45° 5,2kW-2x4096TTL-1,0</v>
          </cell>
          <cell r="J281" t="str">
            <v>шт</v>
          </cell>
          <cell r="K281">
            <v>1</v>
          </cell>
          <cell r="L281"/>
          <cell r="M281" t="str">
            <v>Order</v>
          </cell>
          <cell r="N281" t="str">
            <v>Germany</v>
          </cell>
          <cell r="O281" t="str">
            <v>tkAW</v>
          </cell>
          <cell r="P281" t="str">
            <v>8-10 weeks</v>
          </cell>
          <cell r="Q281"/>
          <cell r="R281"/>
        </row>
        <row r="282">
          <cell r="B282">
            <v>276</v>
          </cell>
          <cell r="C282">
            <v>1</v>
          </cell>
          <cell r="D282" t="str">
            <v>Traction machine</v>
          </cell>
          <cell r="E282" t="str">
            <v>ОСП0007722</v>
          </cell>
          <cell r="F282">
            <v>40451504011</v>
          </cell>
          <cell r="G282" t="str">
            <v>62310003843B</v>
          </cell>
          <cell r="H282" t="str">
            <v>AY Лебедка редукторная TW45</v>
          </cell>
          <cell r="I282" t="str">
            <v>AY TM TW45 hor.R 41:2 TSD520-6xd8-V45° 7kW-2x4096TTL-1,6</v>
          </cell>
          <cell r="J282" t="str">
            <v>шт</v>
          </cell>
          <cell r="K282">
            <v>1</v>
          </cell>
          <cell r="L282"/>
          <cell r="M282" t="str">
            <v>Order</v>
          </cell>
          <cell r="N282" t="str">
            <v>Germany</v>
          </cell>
          <cell r="O282" t="str">
            <v>tkAW</v>
          </cell>
          <cell r="P282" t="str">
            <v>8-10 weeks</v>
          </cell>
          <cell r="Q282"/>
          <cell r="R282"/>
        </row>
        <row r="283">
          <cell r="B283">
            <v>277</v>
          </cell>
          <cell r="C283">
            <v>1</v>
          </cell>
          <cell r="D283" t="str">
            <v>Traction machine</v>
          </cell>
          <cell r="E283" t="str">
            <v xml:space="preserve">ОСП0010774 </v>
          </cell>
          <cell r="F283">
            <v>40451504015</v>
          </cell>
          <cell r="G283" t="str">
            <v>62310003843H</v>
          </cell>
          <cell r="H283" t="str">
            <v>AY Лебедка редукторная TW45</v>
          </cell>
          <cell r="I283" t="str">
            <v>AY TM TW45 hor.R 32:1 TSD440-7xd8-V40° 7kW-2x4096TTL-1,0</v>
          </cell>
          <cell r="J283" t="str">
            <v>шт</v>
          </cell>
          <cell r="K283">
            <v>1</v>
          </cell>
          <cell r="L283"/>
          <cell r="M283" t="str">
            <v>Order</v>
          </cell>
          <cell r="N283" t="str">
            <v>Germany</v>
          </cell>
          <cell r="O283" t="str">
            <v>tkAW</v>
          </cell>
          <cell r="P283" t="str">
            <v>8-10 weeks</v>
          </cell>
          <cell r="Q283"/>
          <cell r="R283"/>
        </row>
        <row r="284">
          <cell r="B284">
            <v>278</v>
          </cell>
          <cell r="C284">
            <v>1</v>
          </cell>
          <cell r="D284" t="str">
            <v>Traction machine</v>
          </cell>
          <cell r="E284" t="str">
            <v>ОСП0009361</v>
          </cell>
          <cell r="F284">
            <v>40451504016</v>
          </cell>
          <cell r="G284" t="str">
            <v>6232001010B</v>
          </cell>
          <cell r="H284" t="str">
            <v>AY Лебедка редукторная TW63</v>
          </cell>
          <cell r="I284" t="str">
            <v>AY TM TW63 vert.L 48:2 TSD590-7xd8-V45° 10kW-2x4096TTL-1,6</v>
          </cell>
          <cell r="J284" t="str">
            <v>шт</v>
          </cell>
          <cell r="K284">
            <v>1</v>
          </cell>
          <cell r="L284"/>
          <cell r="M284" t="str">
            <v>Order</v>
          </cell>
          <cell r="N284" t="str">
            <v>Germany</v>
          </cell>
          <cell r="O284" t="str">
            <v>tkAW</v>
          </cell>
          <cell r="P284" t="str">
            <v>8-10 weeks</v>
          </cell>
          <cell r="Q284"/>
          <cell r="R284"/>
        </row>
        <row r="285">
          <cell r="B285">
            <v>279</v>
          </cell>
          <cell r="C285">
            <v>1</v>
          </cell>
          <cell r="D285" t="str">
            <v>Traction machine</v>
          </cell>
          <cell r="E285" t="str">
            <v>ОСП0010477</v>
          </cell>
          <cell r="F285">
            <v>40451504022</v>
          </cell>
          <cell r="G285" t="str">
            <v>6232001010G</v>
          </cell>
          <cell r="H285" t="str">
            <v>AY Лебедка редукторная TW63</v>
          </cell>
          <cell r="I285" t="str">
            <v>AY TM TW63 hor.R 33:1 TSD510-6xd11-V41° 13kW-2x4096TTL-1,0</v>
          </cell>
          <cell r="J285" t="str">
            <v>шт</v>
          </cell>
          <cell r="K285">
            <v>1</v>
          </cell>
          <cell r="L285"/>
          <cell r="M285" t="str">
            <v>Order</v>
          </cell>
          <cell r="N285" t="str">
            <v>Germany</v>
          </cell>
          <cell r="O285" t="str">
            <v>tkAW</v>
          </cell>
          <cell r="P285" t="str">
            <v>8-10 weeks</v>
          </cell>
          <cell r="Q285"/>
          <cell r="R285"/>
        </row>
        <row r="286">
          <cell r="B286">
            <v>280</v>
          </cell>
          <cell r="C286">
            <v>1</v>
          </cell>
          <cell r="D286" t="str">
            <v>Traction machine</v>
          </cell>
          <cell r="E286" t="str">
            <v>ОСП0006917</v>
          </cell>
          <cell r="F286">
            <v>40451504030</v>
          </cell>
          <cell r="G286" t="str">
            <v>62330006923G</v>
          </cell>
          <cell r="H286" t="str">
            <v>AY Лебедка редукторная TW130</v>
          </cell>
          <cell r="I286" t="str">
            <v>AY TM TW130 vert.L 35:1 TSD900-6xd11-SG100° 13kW-2x4096TTL-1,6</v>
          </cell>
          <cell r="J286" t="str">
            <v>шт</v>
          </cell>
          <cell r="K286">
            <v>1</v>
          </cell>
          <cell r="L286"/>
          <cell r="M286" t="str">
            <v>Order</v>
          </cell>
          <cell r="N286" t="str">
            <v>Germany</v>
          </cell>
          <cell r="O286" t="str">
            <v>tkAW</v>
          </cell>
          <cell r="P286" t="str">
            <v>8-10 weeks</v>
          </cell>
          <cell r="Q286"/>
          <cell r="R286"/>
        </row>
        <row r="287">
          <cell r="B287">
            <v>281</v>
          </cell>
          <cell r="C287">
            <v>1</v>
          </cell>
          <cell r="D287" t="str">
            <v>Traction machine</v>
          </cell>
          <cell r="E287" t="str">
            <v>ОСП0007723</v>
          </cell>
          <cell r="F287">
            <v>40451504031</v>
          </cell>
          <cell r="G287" t="str">
            <v>62330006923F</v>
          </cell>
          <cell r="H287" t="str">
            <v>AY Лебедка редукторная TW130</v>
          </cell>
          <cell r="I287" t="str">
            <v>AY TM TW130 vert.L 35:1 TSD720-6xd11-SG100° 13kW-2x4096TTL-1,6</v>
          </cell>
          <cell r="J287" t="str">
            <v>шт</v>
          </cell>
          <cell r="K287">
            <v>1</v>
          </cell>
          <cell r="L287"/>
          <cell r="M287" t="str">
            <v>Order</v>
          </cell>
          <cell r="N287" t="str">
            <v>Germany</v>
          </cell>
          <cell r="O287" t="str">
            <v>tkAW</v>
          </cell>
          <cell r="P287" t="str">
            <v>8-10 weeks</v>
          </cell>
          <cell r="Q287"/>
          <cell r="R287"/>
        </row>
        <row r="288">
          <cell r="B288">
            <v>282</v>
          </cell>
          <cell r="C288">
            <v>1</v>
          </cell>
          <cell r="D288" t="str">
            <v>Traction machine</v>
          </cell>
          <cell r="E288" t="str">
            <v>ОСП0006918</v>
          </cell>
          <cell r="F288">
            <v>46451523001</v>
          </cell>
          <cell r="G288" t="str">
            <v>62314600100_01</v>
          </cell>
          <cell r="H288" t="str">
            <v>Кожух КВШ лебедки TW45</v>
          </cell>
          <cell r="I288" t="str">
            <v>Traction sheave cover for TW45</v>
          </cell>
          <cell r="J288" t="str">
            <v>шт</v>
          </cell>
          <cell r="K288">
            <v>1</v>
          </cell>
          <cell r="L288"/>
          <cell r="M288" t="str">
            <v>Stock</v>
          </cell>
          <cell r="N288" t="str">
            <v>Russia</v>
          </cell>
          <cell r="O288" t="str">
            <v>Эталон</v>
          </cell>
          <cell r="P288" t="str">
            <v>2-4 weeks</v>
          </cell>
          <cell r="Q288"/>
          <cell r="R288"/>
        </row>
        <row r="289">
          <cell r="B289">
            <v>283</v>
          </cell>
          <cell r="C289">
            <v>1</v>
          </cell>
          <cell r="D289" t="str">
            <v>Traction machine</v>
          </cell>
          <cell r="E289" t="str">
            <v>ОСП0006919</v>
          </cell>
          <cell r="F289">
            <v>46451523002</v>
          </cell>
          <cell r="G289" t="str">
            <v>62324600100_01</v>
          </cell>
          <cell r="H289" t="str">
            <v>Кожух КВШ лебедки TW63</v>
          </cell>
          <cell r="I289" t="str">
            <v>Traction sheave cover for TW63</v>
          </cell>
          <cell r="J289" t="str">
            <v>шт</v>
          </cell>
          <cell r="K289">
            <v>1</v>
          </cell>
          <cell r="L289"/>
          <cell r="M289" t="str">
            <v>Stock</v>
          </cell>
          <cell r="N289" t="str">
            <v>Russia</v>
          </cell>
          <cell r="O289" t="str">
            <v>Эталон</v>
          </cell>
          <cell r="P289" t="str">
            <v>2-4 weeks</v>
          </cell>
          <cell r="Q289"/>
          <cell r="R289"/>
        </row>
        <row r="290">
          <cell r="B290">
            <v>284</v>
          </cell>
          <cell r="C290">
            <v>1</v>
          </cell>
          <cell r="D290" t="str">
            <v>Traction machine</v>
          </cell>
          <cell r="E290" t="str">
            <v>ОСП0010683</v>
          </cell>
          <cell r="F290">
            <v>46451523005</v>
          </cell>
          <cell r="G290" t="str">
            <v>62330007_00</v>
          </cell>
          <cell r="H290" t="str">
            <v>AY Кожух КВШ лебедки TW130</v>
          </cell>
          <cell r="I290" t="str">
            <v>AY Traction sheave cover for TW130</v>
          </cell>
          <cell r="J290" t="str">
            <v>компл</v>
          </cell>
          <cell r="K290">
            <v>1</v>
          </cell>
          <cell r="L290" t="str">
            <v>Assembly</v>
          </cell>
          <cell r="M290" t="str">
            <v>Order</v>
          </cell>
          <cell r="N290" t="str">
            <v>Russia</v>
          </cell>
          <cell r="O290" t="str">
            <v>Эталон</v>
          </cell>
          <cell r="P290" t="str">
            <v>2-4 weeks</v>
          </cell>
          <cell r="Q290"/>
          <cell r="R290"/>
        </row>
        <row r="291">
          <cell r="B291">
            <v>285</v>
          </cell>
          <cell r="C291">
            <v>1</v>
          </cell>
          <cell r="D291" t="str">
            <v>Traction machine</v>
          </cell>
          <cell r="E291" t="str">
            <v>ОСП0006920</v>
          </cell>
          <cell r="F291">
            <v>46451523004</v>
          </cell>
          <cell r="G291" t="str">
            <v>6233S005000_01</v>
          </cell>
          <cell r="H291" t="str">
            <v>Кожух КВШ лебедки TW130</v>
          </cell>
          <cell r="I291" t="str">
            <v>Traction sheave cover for TW130</v>
          </cell>
          <cell r="J291" t="str">
            <v>шт</v>
          </cell>
          <cell r="K291"/>
          <cell r="L291"/>
          <cell r="M291" t="str">
            <v>Order</v>
          </cell>
          <cell r="N291" t="str">
            <v>Russia</v>
          </cell>
          <cell r="O291" t="str">
            <v>Эталон</v>
          </cell>
          <cell r="P291" t="str">
            <v>2-4 weeks</v>
          </cell>
          <cell r="Q291"/>
          <cell r="R291"/>
        </row>
        <row r="292">
          <cell r="B292">
            <v>286</v>
          </cell>
          <cell r="C292">
            <v>1</v>
          </cell>
          <cell r="D292" t="str">
            <v>Traction machine</v>
          </cell>
          <cell r="E292" t="str">
            <v>ОСП0007728</v>
          </cell>
          <cell r="F292">
            <v>46450605010</v>
          </cell>
          <cell r="G292" t="str">
            <v>62310012_00</v>
          </cell>
          <cell r="H292" t="str">
            <v>AY Рама лебедки TW45, отводной блок 360 мм</v>
          </cell>
          <cell r="I292" t="str">
            <v>AY Traction machine TW45 frame, rope pulley 360 mm</v>
          </cell>
          <cell r="J292" t="str">
            <v>компл</v>
          </cell>
          <cell r="K292">
            <v>1</v>
          </cell>
          <cell r="L292" t="str">
            <v>Assembly</v>
          </cell>
          <cell r="M292" t="str">
            <v>Stock</v>
          </cell>
          <cell r="N292" t="str">
            <v>Russia</v>
          </cell>
          <cell r="O292" t="str">
            <v>Эталон</v>
          </cell>
          <cell r="P292" t="str">
            <v>2 weeks</v>
          </cell>
          <cell r="Q292"/>
          <cell r="R292"/>
        </row>
        <row r="293">
          <cell r="B293">
            <v>287</v>
          </cell>
          <cell r="C293">
            <v>1</v>
          </cell>
          <cell r="D293" t="str">
            <v>Traction machine</v>
          </cell>
          <cell r="E293" t="str">
            <v>ОСП0005921</v>
          </cell>
          <cell r="F293"/>
          <cell r="G293" t="str">
            <v>62310003858</v>
          </cell>
          <cell r="H293" t="str">
            <v>Рама лебедки TW45</v>
          </cell>
          <cell r="I293" t="str">
            <v>Traction machine TW45 frame</v>
          </cell>
          <cell r="J293" t="str">
            <v>шт</v>
          </cell>
          <cell r="K293"/>
          <cell r="L293"/>
          <cell r="M293" t="str">
            <v>Order</v>
          </cell>
          <cell r="N293" t="str">
            <v>Russia</v>
          </cell>
          <cell r="O293" t="str">
            <v>Эталон</v>
          </cell>
          <cell r="P293" t="str">
            <v>2 weeks</v>
          </cell>
          <cell r="Q293"/>
          <cell r="R293"/>
        </row>
        <row r="294">
          <cell r="B294">
            <v>288</v>
          </cell>
          <cell r="C294">
            <v>0</v>
          </cell>
          <cell r="D294" t="str">
            <v>Traction machine</v>
          </cell>
          <cell r="E294" t="str">
            <v>ОСП0007729</v>
          </cell>
          <cell r="F294">
            <v>46450605020</v>
          </cell>
          <cell r="G294" t="str">
            <v>62320001_00</v>
          </cell>
          <cell r="H294" t="str">
            <v>AY Рама лебедки TW63, отводной блок 450 мм</v>
          </cell>
          <cell r="I294" t="str">
            <v>AY Traction machine TW63 frame, rope pulley 450 mm</v>
          </cell>
          <cell r="J294" t="str">
            <v>компл</v>
          </cell>
          <cell r="K294">
            <v>1</v>
          </cell>
          <cell r="L294" t="str">
            <v>Assembly</v>
          </cell>
          <cell r="M294" t="str">
            <v>Stock</v>
          </cell>
          <cell r="N294" t="str">
            <v>Russia</v>
          </cell>
          <cell r="O294" t="str">
            <v>Эталон</v>
          </cell>
          <cell r="P294" t="str">
            <v>2 weeks</v>
          </cell>
          <cell r="Q294"/>
          <cell r="R294"/>
        </row>
        <row r="295">
          <cell r="B295">
            <v>289</v>
          </cell>
          <cell r="C295">
            <v>0</v>
          </cell>
          <cell r="D295" t="str">
            <v>Traction machine</v>
          </cell>
          <cell r="E295" t="str">
            <v>ОСП0005922</v>
          </cell>
          <cell r="F295"/>
          <cell r="G295" t="str">
            <v>6232003100</v>
          </cell>
          <cell r="H295" t="str">
            <v>Рама лебедки TW63</v>
          </cell>
          <cell r="I295" t="str">
            <v>Traction machine TW63 frame</v>
          </cell>
          <cell r="J295" t="str">
            <v>шт</v>
          </cell>
          <cell r="K295"/>
          <cell r="L295"/>
          <cell r="M295" t="str">
            <v>Order</v>
          </cell>
          <cell r="N295" t="str">
            <v>Russia</v>
          </cell>
          <cell r="O295" t="str">
            <v>Эталон</v>
          </cell>
          <cell r="P295" t="str">
            <v>2 weeks</v>
          </cell>
          <cell r="Q295"/>
          <cell r="R295"/>
        </row>
        <row r="296">
          <cell r="B296">
            <v>290</v>
          </cell>
          <cell r="C296">
            <v>0</v>
          </cell>
          <cell r="D296" t="str">
            <v>Traction machine</v>
          </cell>
          <cell r="E296" t="str">
            <v>ОСП0010764</v>
          </cell>
          <cell r="F296">
            <v>46450605021</v>
          </cell>
          <cell r="G296" t="str">
            <v>62320007_00</v>
          </cell>
          <cell r="H296" t="str">
            <v>AY Рама лебедки TW63, отводной блок 360 мм</v>
          </cell>
          <cell r="I296" t="str">
            <v>AY Traction machine TW63 frame, rope pulley 360 mm</v>
          </cell>
          <cell r="J296" t="str">
            <v>компл</v>
          </cell>
          <cell r="K296">
            <v>1</v>
          </cell>
          <cell r="L296" t="str">
            <v>Assembly</v>
          </cell>
          <cell r="M296" t="str">
            <v>Order</v>
          </cell>
          <cell r="N296" t="str">
            <v>Russia</v>
          </cell>
          <cell r="O296" t="str">
            <v>Эталон</v>
          </cell>
          <cell r="P296" t="str">
            <v>2 weeks</v>
          </cell>
          <cell r="Q296"/>
          <cell r="R296"/>
        </row>
        <row r="297">
          <cell r="B297">
            <v>291</v>
          </cell>
          <cell r="C297">
            <v>0</v>
          </cell>
          <cell r="D297" t="str">
            <v>Traction machine</v>
          </cell>
          <cell r="E297" t="str">
            <v>ОСП0010765</v>
          </cell>
          <cell r="F297"/>
          <cell r="G297" t="str">
            <v>62320007</v>
          </cell>
          <cell r="H297" t="str">
            <v>Рама лебедки TW63, отводной блок 360 мм</v>
          </cell>
          <cell r="I297" t="str">
            <v>Traction machine TW63 frame, rope pulley 360 mm</v>
          </cell>
          <cell r="J297" t="str">
            <v>шт</v>
          </cell>
          <cell r="K297"/>
          <cell r="L297"/>
          <cell r="M297" t="str">
            <v>Order</v>
          </cell>
          <cell r="N297" t="str">
            <v>Russia</v>
          </cell>
          <cell r="O297" t="str">
            <v>Эталон</v>
          </cell>
          <cell r="P297" t="str">
            <v>2 weeks</v>
          </cell>
          <cell r="Q297"/>
          <cell r="R297"/>
        </row>
        <row r="298">
          <cell r="B298">
            <v>292</v>
          </cell>
          <cell r="C298">
            <v>1</v>
          </cell>
          <cell r="D298" t="str">
            <v>Traction machine</v>
          </cell>
          <cell r="E298" t="str">
            <v>ОСП0007730</v>
          </cell>
          <cell r="F298">
            <v>46450605030</v>
          </cell>
          <cell r="G298" t="str">
            <v>62330001_00</v>
          </cell>
          <cell r="H298" t="str">
            <v>AY Рама лебедки TW130</v>
          </cell>
          <cell r="I298" t="str">
            <v>AY Traction machine TW130 frame</v>
          </cell>
          <cell r="J298" t="str">
            <v>компл</v>
          </cell>
          <cell r="K298">
            <v>1</v>
          </cell>
          <cell r="L298" t="str">
            <v>Assembly</v>
          </cell>
          <cell r="M298" t="str">
            <v>Order</v>
          </cell>
          <cell r="N298" t="str">
            <v>Russia</v>
          </cell>
          <cell r="O298" t="str">
            <v>Эталон</v>
          </cell>
          <cell r="P298" t="str">
            <v>2 weeks</v>
          </cell>
          <cell r="Q298"/>
          <cell r="R298"/>
        </row>
        <row r="299">
          <cell r="B299">
            <v>293</v>
          </cell>
          <cell r="C299">
            <v>1</v>
          </cell>
          <cell r="D299" t="str">
            <v>Traction machine</v>
          </cell>
          <cell r="E299" t="str">
            <v>ОСП0009954</v>
          </cell>
          <cell r="F299"/>
          <cell r="G299" t="str">
            <v>6233S001000</v>
          </cell>
          <cell r="H299" t="str">
            <v>Рама лебедки TW130</v>
          </cell>
          <cell r="I299" t="str">
            <v>Traction machine TW130 frame</v>
          </cell>
          <cell r="J299" t="str">
            <v>шт</v>
          </cell>
          <cell r="K299"/>
          <cell r="L299"/>
          <cell r="M299" t="str">
            <v>Order</v>
          </cell>
          <cell r="N299" t="str">
            <v>Russia</v>
          </cell>
          <cell r="O299" t="str">
            <v>Эталон</v>
          </cell>
          <cell r="P299" t="str">
            <v>4-6 weeks</v>
          </cell>
          <cell r="Q299"/>
          <cell r="R299"/>
        </row>
        <row r="300">
          <cell r="B300">
            <v>294</v>
          </cell>
          <cell r="C300">
            <v>1</v>
          </cell>
          <cell r="D300" t="str">
            <v>Traction machine</v>
          </cell>
          <cell r="E300" t="str">
            <v>ОСП0010060</v>
          </cell>
          <cell r="F300">
            <v>46450605011</v>
          </cell>
          <cell r="G300" t="str">
            <v>62310001_00</v>
          </cell>
          <cell r="H300" t="str">
            <v>AY Рама лебедки TW45 (ASL 950 мм, вкл. кожух)</v>
          </cell>
          <cell r="I300" t="str">
            <v>AY Traction machine TW45 frame (ASL 950 mm, incl. cover)</v>
          </cell>
          <cell r="J300" t="str">
            <v>компл</v>
          </cell>
          <cell r="K300">
            <v>1</v>
          </cell>
          <cell r="L300" t="str">
            <v>Assembly</v>
          </cell>
          <cell r="M300" t="str">
            <v>Order</v>
          </cell>
          <cell r="N300" t="str">
            <v>Russia</v>
          </cell>
          <cell r="O300" t="str">
            <v>Эталон</v>
          </cell>
          <cell r="P300" t="str">
            <v>4-6 weeks</v>
          </cell>
          <cell r="Q300"/>
          <cell r="R300"/>
        </row>
        <row r="301">
          <cell r="B301">
            <v>295</v>
          </cell>
          <cell r="C301">
            <v>1</v>
          </cell>
          <cell r="D301" t="str">
            <v>Traction machine</v>
          </cell>
          <cell r="E301" t="str">
            <v>ОСП0010061</v>
          </cell>
          <cell r="F301"/>
          <cell r="G301" t="str">
            <v>62310001</v>
          </cell>
          <cell r="H301" t="str">
            <v>Рама лебедки TW45 (ASL 950 мм)</v>
          </cell>
          <cell r="I301" t="str">
            <v>Traction machine TW45 frame (ASL 950 mm, incl. cover)</v>
          </cell>
          <cell r="J301" t="str">
            <v>шт</v>
          </cell>
          <cell r="K301"/>
          <cell r="L301"/>
          <cell r="M301" t="str">
            <v>Order</v>
          </cell>
          <cell r="N301" t="str">
            <v>Russia</v>
          </cell>
          <cell r="O301" t="str">
            <v>Эталон</v>
          </cell>
          <cell r="P301" t="str">
            <v>4-6 weeks</v>
          </cell>
          <cell r="Q301"/>
          <cell r="R301"/>
        </row>
        <row r="302">
          <cell r="B302">
            <v>296</v>
          </cell>
          <cell r="C302">
            <v>1</v>
          </cell>
          <cell r="D302" t="str">
            <v>Controller</v>
          </cell>
          <cell r="E302" t="str">
            <v>ОСП0007490</v>
          </cell>
          <cell r="F302">
            <v>30404201000</v>
          </cell>
          <cell r="G302"/>
          <cell r="H302" t="str">
            <v>Система управления лифтом E-MOD (tkEMF) 400 кг</v>
          </cell>
          <cell r="I302" t="str">
            <v>Controller E-MOD (tkEMF) 400 kg</v>
          </cell>
          <cell r="J302" t="str">
            <v>компл</v>
          </cell>
          <cell r="K302">
            <v>2</v>
          </cell>
          <cell r="L302"/>
          <cell r="M302" t="str">
            <v>Order</v>
          </cell>
          <cell r="N302" t="str">
            <v>France</v>
          </cell>
          <cell r="O302" t="str">
            <v>tkEMF</v>
          </cell>
          <cell r="P302" t="str">
            <v>8 weeks</v>
          </cell>
          <cell r="Q302"/>
          <cell r="R302"/>
        </row>
        <row r="303">
          <cell r="B303">
            <v>297</v>
          </cell>
          <cell r="C303">
            <v>1</v>
          </cell>
          <cell r="D303" t="str">
            <v>Controller</v>
          </cell>
          <cell r="E303" t="str">
            <v>ОСП0009738</v>
          </cell>
          <cell r="F303">
            <v>30404201100</v>
          </cell>
          <cell r="G303"/>
          <cell r="H303" t="str">
            <v>Система управления лифтом E-MOD (tkEMF) 630 кг</v>
          </cell>
          <cell r="I303" t="str">
            <v>Controller E-MOD (tkEMF) 630 kg</v>
          </cell>
          <cell r="J303" t="str">
            <v>компл</v>
          </cell>
          <cell r="K303">
            <v>2</v>
          </cell>
          <cell r="L303"/>
          <cell r="M303" t="str">
            <v>Order</v>
          </cell>
          <cell r="N303" t="str">
            <v>France</v>
          </cell>
          <cell r="O303" t="str">
            <v>tkEMF</v>
          </cell>
          <cell r="P303" t="str">
            <v>8 weeks</v>
          </cell>
          <cell r="Q303"/>
          <cell r="R303"/>
        </row>
        <row r="304">
          <cell r="B304">
            <v>298</v>
          </cell>
          <cell r="C304">
            <v>1</v>
          </cell>
          <cell r="D304" t="str">
            <v>Controller</v>
          </cell>
          <cell r="E304" t="str">
            <v>ОСП0007489</v>
          </cell>
          <cell r="F304">
            <v>30404201001</v>
          </cell>
          <cell r="G304"/>
          <cell r="H304" t="str">
            <v>Система управления лифтом E-MOD (tkEMF) 1000 кг</v>
          </cell>
          <cell r="I304" t="str">
            <v>Controller E-MOD (tkEMF) 1000 kg</v>
          </cell>
          <cell r="J304" t="str">
            <v>компл</v>
          </cell>
          <cell r="K304">
            <v>2</v>
          </cell>
          <cell r="L304"/>
          <cell r="M304" t="str">
            <v>Order</v>
          </cell>
          <cell r="N304" t="str">
            <v>France</v>
          </cell>
          <cell r="O304" t="str">
            <v>tkEMF</v>
          </cell>
          <cell r="P304" t="str">
            <v>8 weeks</v>
          </cell>
          <cell r="Q304"/>
          <cell r="R304"/>
        </row>
        <row r="305">
          <cell r="B305">
            <v>299</v>
          </cell>
          <cell r="C305">
            <v>1</v>
          </cell>
          <cell r="D305" t="str">
            <v>Controller</v>
          </cell>
          <cell r="E305" t="str">
            <v>ОСП0008300</v>
          </cell>
          <cell r="F305">
            <v>44404201000</v>
          </cell>
          <cell r="G305"/>
          <cell r="H305" t="str">
            <v>Система управления лифтом MCM V2 (tkAW) 400 кг</v>
          </cell>
          <cell r="I305" t="str">
            <v>Controller MCM V2 (tkAW) 400 kg</v>
          </cell>
          <cell r="J305" t="str">
            <v>компл</v>
          </cell>
          <cell r="K305">
            <v>2</v>
          </cell>
          <cell r="L305"/>
          <cell r="M305" t="str">
            <v>Order</v>
          </cell>
          <cell r="N305" t="str">
            <v>Germany</v>
          </cell>
          <cell r="O305" t="str">
            <v>tkAW</v>
          </cell>
          <cell r="P305" t="str">
            <v>10-12 weeks</v>
          </cell>
          <cell r="Q305"/>
          <cell r="R305"/>
        </row>
        <row r="306">
          <cell r="B306">
            <v>300</v>
          </cell>
          <cell r="C306">
            <v>1</v>
          </cell>
          <cell r="D306" t="str">
            <v>Controller</v>
          </cell>
          <cell r="E306" t="str">
            <v>ОСП0009736</v>
          </cell>
          <cell r="F306">
            <v>44404201100</v>
          </cell>
          <cell r="G306"/>
          <cell r="H306" t="str">
            <v>Система управления лифтом MCM V2 (tkAW) 630 кг</v>
          </cell>
          <cell r="I306" t="str">
            <v>Controller MCM V2 (tkAW) 630 kg</v>
          </cell>
          <cell r="J306" t="str">
            <v>компл</v>
          </cell>
          <cell r="K306">
            <v>2</v>
          </cell>
          <cell r="L306"/>
          <cell r="M306" t="str">
            <v>Order</v>
          </cell>
          <cell r="N306" t="str">
            <v>Germany</v>
          </cell>
          <cell r="O306" t="str">
            <v>tkAW</v>
          </cell>
          <cell r="P306" t="str">
            <v>10-12 weeks</v>
          </cell>
          <cell r="Q306"/>
          <cell r="R306"/>
        </row>
        <row r="307">
          <cell r="B307">
            <v>301</v>
          </cell>
          <cell r="C307">
            <v>1</v>
          </cell>
          <cell r="D307" t="str">
            <v>Controller</v>
          </cell>
          <cell r="E307" t="str">
            <v>ОСП0008299</v>
          </cell>
          <cell r="F307">
            <v>44404201001</v>
          </cell>
          <cell r="G307"/>
          <cell r="H307" t="str">
            <v>Система управления лифтом MCM V2 (tkAW) 1000 кг</v>
          </cell>
          <cell r="I307" t="str">
            <v>Controller MCM V2 (tkAW) 1000 kg</v>
          </cell>
          <cell r="J307" t="str">
            <v>компл</v>
          </cell>
          <cell r="K307">
            <v>2</v>
          </cell>
          <cell r="L307"/>
          <cell r="M307" t="str">
            <v>Order</v>
          </cell>
          <cell r="N307" t="str">
            <v>Germany</v>
          </cell>
          <cell r="O307" t="str">
            <v>tkAW</v>
          </cell>
          <cell r="P307" t="str">
            <v>10-12 weeks</v>
          </cell>
          <cell r="Q307"/>
          <cell r="R307"/>
        </row>
        <row r="308">
          <cell r="B308">
            <v>302</v>
          </cell>
          <cell r="C308">
            <v>1</v>
          </cell>
          <cell r="D308" t="str">
            <v>Controller</v>
          </cell>
          <cell r="E308" t="str">
            <v>ОСП0007641</v>
          </cell>
          <cell r="F308">
            <v>69402705013</v>
          </cell>
          <cell r="G308"/>
          <cell r="H308" t="str">
            <v>Аппарат вызывной BAF100 c кнопкой Вниз, синяя подсветка</v>
          </cell>
          <cell r="I308" t="str">
            <v>LOP BAF100-blue (surface), Down button</v>
          </cell>
          <cell r="J308" t="str">
            <v>шт</v>
          </cell>
          <cell r="K308">
            <v>18</v>
          </cell>
          <cell r="L308"/>
          <cell r="M308" t="str">
            <v>Stock</v>
          </cell>
          <cell r="N308" t="str">
            <v>China</v>
          </cell>
          <cell r="O308" t="str">
            <v>Shanghai BST</v>
          </cell>
          <cell r="P308" t="str">
            <v>8 weeks</v>
          </cell>
          <cell r="Q308"/>
          <cell r="R308"/>
        </row>
        <row r="309">
          <cell r="B309">
            <v>303</v>
          </cell>
          <cell r="C309">
            <v>1</v>
          </cell>
          <cell r="D309" t="str">
            <v>Controller</v>
          </cell>
          <cell r="E309" t="str">
            <v>ОСП0010202</v>
          </cell>
          <cell r="F309">
            <v>69402705017</v>
          </cell>
          <cell r="G309"/>
          <cell r="H309" t="str">
            <v>Аппарат вызывной BAF100 с кнопкой Family, синяя подсветка</v>
          </cell>
          <cell r="I309" t="str">
            <v>LOP BAF100-blue (surface), Family button</v>
          </cell>
          <cell r="J309" t="str">
            <v>шт</v>
          </cell>
          <cell r="K309">
            <v>18</v>
          </cell>
          <cell r="L309"/>
          <cell r="M309" t="str">
            <v>Order</v>
          </cell>
          <cell r="N309" t="str">
            <v>China</v>
          </cell>
          <cell r="O309" t="str">
            <v>Shanghai BST</v>
          </cell>
          <cell r="P309" t="str">
            <v>8 weeks</v>
          </cell>
          <cell r="Q309"/>
          <cell r="R309"/>
        </row>
        <row r="310">
          <cell r="B310">
            <v>304</v>
          </cell>
          <cell r="C310">
            <v>1</v>
          </cell>
          <cell r="D310" t="str">
            <v>Controller</v>
          </cell>
          <cell r="E310" t="str">
            <v>ОСП0007494</v>
          </cell>
          <cell r="F310">
            <v>69402705010</v>
          </cell>
          <cell r="G310"/>
          <cell r="H310" t="str">
            <v>Аппарат вызывной BAF100 с кнопкой Вверх, Family, синяя подсветка</v>
          </cell>
          <cell r="I310" t="str">
            <v>LOP BAF100-blue (surface), Up, Family buttons</v>
          </cell>
          <cell r="J310" t="str">
            <v>шт</v>
          </cell>
          <cell r="K310">
            <v>18</v>
          </cell>
          <cell r="L310"/>
          <cell r="M310" t="str">
            <v>Stock</v>
          </cell>
          <cell r="N310" t="str">
            <v>China</v>
          </cell>
          <cell r="O310" t="str">
            <v>Shanghai BST</v>
          </cell>
          <cell r="P310" t="str">
            <v>8 weeks</v>
          </cell>
          <cell r="Q310"/>
          <cell r="R310"/>
        </row>
        <row r="311">
          <cell r="B311">
            <v>305</v>
          </cell>
          <cell r="C311">
            <v>1</v>
          </cell>
          <cell r="D311" t="str">
            <v>Controller</v>
          </cell>
          <cell r="E311" t="str">
            <v>ОСП0007642</v>
          </cell>
          <cell r="F311">
            <v>69402705014</v>
          </cell>
          <cell r="G311"/>
          <cell r="H311" t="str">
            <v>Аппарат вызывной BAF100 с кнопкой Вверх, Вниз, синяя подсветка</v>
          </cell>
          <cell r="I311" t="str">
            <v>LOP BAF100-blue (surface), Up, Down buttons</v>
          </cell>
          <cell r="J311" t="str">
            <v>шт</v>
          </cell>
          <cell r="K311">
            <v>18</v>
          </cell>
          <cell r="L311"/>
          <cell r="M311" t="str">
            <v>Stock</v>
          </cell>
          <cell r="N311" t="str">
            <v>China</v>
          </cell>
          <cell r="O311" t="str">
            <v>Shanghai BST</v>
          </cell>
          <cell r="P311" t="str">
            <v>8 weeks</v>
          </cell>
          <cell r="Q311"/>
          <cell r="R311"/>
        </row>
        <row r="312">
          <cell r="B312">
            <v>306</v>
          </cell>
          <cell r="C312">
            <v>1</v>
          </cell>
          <cell r="D312" t="str">
            <v>Controller</v>
          </cell>
          <cell r="E312" t="str">
            <v>ОСП0007640</v>
          </cell>
          <cell r="F312">
            <v>69402705012</v>
          </cell>
          <cell r="G312"/>
          <cell r="H312" t="str">
            <v>Аппарат вызывной BAF100 с кнопкой Вверх, синяя подсветка</v>
          </cell>
          <cell r="I312" t="str">
            <v>LOP BAF100-blue (surface), Up button</v>
          </cell>
          <cell r="J312" t="str">
            <v>шт</v>
          </cell>
          <cell r="K312">
            <v>18</v>
          </cell>
          <cell r="L312"/>
          <cell r="M312" t="str">
            <v>Stock</v>
          </cell>
          <cell r="N312" t="str">
            <v>China</v>
          </cell>
          <cell r="O312" t="str">
            <v>Shanghai BST</v>
          </cell>
          <cell r="P312" t="str">
            <v>8 weeks</v>
          </cell>
          <cell r="Q312"/>
          <cell r="R312"/>
        </row>
        <row r="313">
          <cell r="B313">
            <v>307</v>
          </cell>
          <cell r="C313">
            <v>1</v>
          </cell>
          <cell r="D313" t="str">
            <v>Controller</v>
          </cell>
          <cell r="E313" t="str">
            <v>ОСП0009467</v>
          </cell>
          <cell r="F313">
            <v>69402705015</v>
          </cell>
          <cell r="G313"/>
          <cell r="H313" t="str">
            <v>Аппарат вызывной BAF100 с кнопкой Вверх, синяя подсветка, логотип ТК</v>
          </cell>
          <cell r="I313" t="str">
            <v>LOP BAF100-blue (surface), Up button, with tk logo</v>
          </cell>
          <cell r="J313" t="str">
            <v>шт</v>
          </cell>
          <cell r="K313">
            <v>18</v>
          </cell>
          <cell r="L313"/>
          <cell r="M313" t="str">
            <v>Order</v>
          </cell>
          <cell r="N313" t="str">
            <v>China</v>
          </cell>
          <cell r="O313" t="str">
            <v>Shanghai BST</v>
          </cell>
          <cell r="P313" t="str">
            <v>8 weeks</v>
          </cell>
          <cell r="Q313"/>
          <cell r="R313"/>
        </row>
        <row r="314">
          <cell r="B314">
            <v>308</v>
          </cell>
          <cell r="C314">
            <v>1</v>
          </cell>
          <cell r="D314" t="str">
            <v>Controller</v>
          </cell>
          <cell r="E314" t="str">
            <v>ОСП0007495</v>
          </cell>
          <cell r="F314">
            <v>69402705011</v>
          </cell>
          <cell r="G314"/>
          <cell r="H314" t="str">
            <v>Аппарат вызывной BAF100 с кнопкой Вниз, Family, синяя подсветка</v>
          </cell>
          <cell r="I314" t="str">
            <v>LOP BAF100-blue (surface), Down, Family buttons</v>
          </cell>
          <cell r="J314" t="str">
            <v>шт</v>
          </cell>
          <cell r="K314">
            <v>18</v>
          </cell>
          <cell r="L314"/>
          <cell r="M314" t="str">
            <v>Stock</v>
          </cell>
          <cell r="N314" t="str">
            <v>China</v>
          </cell>
          <cell r="O314" t="str">
            <v>Shanghai BST</v>
          </cell>
          <cell r="P314" t="str">
            <v>8 weeks</v>
          </cell>
          <cell r="Q314"/>
          <cell r="R314"/>
        </row>
        <row r="315">
          <cell r="B315">
            <v>309</v>
          </cell>
          <cell r="C315">
            <v>1</v>
          </cell>
          <cell r="D315" t="str">
            <v>Controller</v>
          </cell>
          <cell r="E315" t="str">
            <v>ОСП0009468</v>
          </cell>
          <cell r="F315">
            <v>69402705016</v>
          </cell>
          <cell r="G315"/>
          <cell r="H315" t="str">
            <v>Аппарат вызывной BAF100 с кнопкой Вниз, синяя подсветка, логотип ТК</v>
          </cell>
          <cell r="I315" t="str">
            <v>LOP BAF100-blue (surface), Down button, with tk logo</v>
          </cell>
          <cell r="J315" t="str">
            <v>шт</v>
          </cell>
          <cell r="K315">
            <v>18</v>
          </cell>
          <cell r="L315"/>
          <cell r="M315" t="str">
            <v>Order</v>
          </cell>
          <cell r="N315" t="str">
            <v>China</v>
          </cell>
          <cell r="O315" t="str">
            <v>Shanghai BST</v>
          </cell>
          <cell r="P315" t="str">
            <v>8 weeks</v>
          </cell>
          <cell r="Q315"/>
          <cell r="R315"/>
        </row>
        <row r="316">
          <cell r="B316">
            <v>310</v>
          </cell>
          <cell r="C316">
            <v>1</v>
          </cell>
          <cell r="D316" t="str">
            <v>Controller</v>
          </cell>
          <cell r="E316" t="str">
            <v>ОСП0006423</v>
          </cell>
          <cell r="F316">
            <v>46405101010</v>
          </cell>
          <cell r="G316"/>
          <cell r="H316" t="str">
            <v>Устройство вводное ВРУ1</v>
          </cell>
          <cell r="I316" t="str">
            <v>Main switch panel VRU1</v>
          </cell>
          <cell r="J316" t="str">
            <v>шт</v>
          </cell>
          <cell r="K316">
            <v>2</v>
          </cell>
          <cell r="L316"/>
          <cell r="M316" t="str">
            <v>Stock</v>
          </cell>
          <cell r="N316" t="str">
            <v>Russia</v>
          </cell>
          <cell r="O316" t="str">
            <v>КБ ПРОК</v>
          </cell>
          <cell r="P316" t="str">
            <v>4 weeks</v>
          </cell>
          <cell r="Q316"/>
          <cell r="R316"/>
        </row>
        <row r="317">
          <cell r="B317">
            <v>311</v>
          </cell>
          <cell r="C317">
            <v>1</v>
          </cell>
          <cell r="D317" t="str">
            <v>Controller</v>
          </cell>
          <cell r="E317" t="str">
            <v>ОСП0006424</v>
          </cell>
          <cell r="F317">
            <v>46405101011</v>
          </cell>
          <cell r="G317"/>
          <cell r="H317" t="str">
            <v>Устройство вводное ВРУ2</v>
          </cell>
          <cell r="I317" t="str">
            <v>Main switch panel VRU2</v>
          </cell>
          <cell r="J317" t="str">
            <v>шт</v>
          </cell>
          <cell r="K317">
            <v>2</v>
          </cell>
          <cell r="L317"/>
          <cell r="M317" t="str">
            <v>Stock</v>
          </cell>
          <cell r="N317" t="str">
            <v>Russia</v>
          </cell>
          <cell r="O317" t="str">
            <v>КБ ПРОК</v>
          </cell>
          <cell r="P317" t="str">
            <v>4 weeks</v>
          </cell>
          <cell r="Q317"/>
          <cell r="R317"/>
        </row>
        <row r="318">
          <cell r="B318">
            <v>312</v>
          </cell>
          <cell r="C318">
            <v>0</v>
          </cell>
          <cell r="D318" t="str">
            <v>Rope</v>
          </cell>
          <cell r="E318" t="str">
            <v>ОСП0007025</v>
          </cell>
          <cell r="F318">
            <v>40451514200</v>
          </cell>
          <cell r="G318"/>
          <cell r="H318" t="str">
            <v>AY Канат 8 мм PAWO F7S 8х19W-IWRC 1570 U sZ, 38 kN, заделка с одного конца</v>
          </cell>
          <cell r="I318" t="str">
            <v>AY Rope 8 mm PAWO F7S 8х19W-IWRC 1570 U sZ, 38 kN</v>
          </cell>
          <cell r="J318" t="str">
            <v>компл</v>
          </cell>
          <cell r="K318">
            <v>10</v>
          </cell>
          <cell r="L318" t="str">
            <v>Assembly</v>
          </cell>
          <cell r="M318" t="str">
            <v>Order</v>
          </cell>
          <cell r="N318" t="str">
            <v>Germany</v>
          </cell>
          <cell r="O318" t="str">
            <v>Gustav Wolf</v>
          </cell>
          <cell r="P318" t="str">
            <v>12 weeks</v>
          </cell>
          <cell r="Q318"/>
          <cell r="R318"/>
        </row>
        <row r="319">
          <cell r="B319">
            <v>313</v>
          </cell>
          <cell r="C319">
            <v>1</v>
          </cell>
          <cell r="D319" t="str">
            <v>Rope</v>
          </cell>
          <cell r="E319" t="str">
            <v>ОСП0005857</v>
          </cell>
          <cell r="F319">
            <v>40451514023</v>
          </cell>
          <cell r="G319" t="str">
            <v>631208033</v>
          </cell>
          <cell r="H319" t="str">
            <v>Канат 8 мм PAWO F7S 8х19W-IWRC 1570 U sZ, 44,6 kN</v>
          </cell>
          <cell r="I319" t="str">
            <v>Rope 8 mm PAWO F7S 8х19W-IWRC 1570 U sZ, 44,6 kN</v>
          </cell>
          <cell r="J319" t="str">
            <v>м</v>
          </cell>
          <cell r="K319"/>
          <cell r="L319"/>
          <cell r="M319" t="str">
            <v>Stock</v>
          </cell>
          <cell r="N319" t="str">
            <v>Germany</v>
          </cell>
          <cell r="O319" t="str">
            <v>Gustav Wolf</v>
          </cell>
          <cell r="P319" t="str">
            <v>12 weeks</v>
          </cell>
          <cell r="Q319"/>
          <cell r="R319"/>
        </row>
        <row r="320">
          <cell r="B320">
            <v>314</v>
          </cell>
          <cell r="C320">
            <v>0</v>
          </cell>
          <cell r="D320" t="str">
            <v>Rope</v>
          </cell>
          <cell r="E320" t="str">
            <v>ОСП0007058</v>
          </cell>
          <cell r="F320">
            <v>40451514300</v>
          </cell>
          <cell r="G320"/>
          <cell r="H320" t="str">
            <v>AY Канат 11 мм PAWO F7S 8х19W-IWRC 1570 U sZ, 44,6 kN, заделка с одного конца</v>
          </cell>
          <cell r="I320" t="str">
            <v>AY Rope 11 mm PAWO F7S 8х19W-IWRC 1570 U sZ, 44,6 kN</v>
          </cell>
          <cell r="J320" t="str">
            <v>компл</v>
          </cell>
          <cell r="K320">
            <v>10</v>
          </cell>
          <cell r="L320" t="str">
            <v>Assembly</v>
          </cell>
          <cell r="M320" t="str">
            <v>Order</v>
          </cell>
          <cell r="N320" t="str">
            <v>Germany</v>
          </cell>
          <cell r="O320" t="str">
            <v>Gustav Wolf</v>
          </cell>
          <cell r="P320" t="str">
            <v>12 weeks</v>
          </cell>
          <cell r="Q320"/>
          <cell r="R320"/>
        </row>
        <row r="321">
          <cell r="B321">
            <v>315</v>
          </cell>
          <cell r="C321">
            <v>1</v>
          </cell>
          <cell r="D321" t="str">
            <v>Rope</v>
          </cell>
          <cell r="E321" t="str">
            <v>ОСП0006489</v>
          </cell>
          <cell r="F321">
            <v>40451514012</v>
          </cell>
          <cell r="G321" t="str">
            <v>631211032</v>
          </cell>
          <cell r="H321" t="str">
            <v>Канат 11 мм PAWO F7S 8х19W-IWRC 1570 U sZ, 83,1 kN</v>
          </cell>
          <cell r="I321" t="str">
            <v>Rope 11 mm PAWO F7S 8х19W-IWRC 1570 U sZ, 83,1 kN</v>
          </cell>
          <cell r="J321" t="str">
            <v>м</v>
          </cell>
          <cell r="K321"/>
          <cell r="L321"/>
          <cell r="M321" t="str">
            <v>Stock</v>
          </cell>
          <cell r="N321" t="str">
            <v>Germany</v>
          </cell>
          <cell r="O321" t="str">
            <v>Gustav Wolf</v>
          </cell>
          <cell r="P321" t="str">
            <v>12 weeks</v>
          </cell>
          <cell r="Q321"/>
          <cell r="R321"/>
        </row>
        <row r="322">
          <cell r="B322">
            <v>316</v>
          </cell>
          <cell r="C322">
            <v>1</v>
          </cell>
          <cell r="D322" t="str">
            <v>Rope</v>
          </cell>
          <cell r="E322" t="str">
            <v>ОСП0006932</v>
          </cell>
          <cell r="F322">
            <v>40451514024</v>
          </cell>
          <cell r="G322" t="str">
            <v>SS10608D0320315</v>
          </cell>
          <cell r="H322" t="str">
            <v>Пружинная подвеска каната Type D номинальный размер 8</v>
          </cell>
          <cell r="I322" t="str">
            <v>Rope suspension type D with rope socket, nominal size 8, acc. EN13411-7 with eye bolt M12x320</v>
          </cell>
          <cell r="J322" t="str">
            <v>шт</v>
          </cell>
          <cell r="K322">
            <v>10</v>
          </cell>
          <cell r="L322"/>
          <cell r="M322" t="str">
            <v>Stock</v>
          </cell>
          <cell r="N322" t="str">
            <v>Germany</v>
          </cell>
          <cell r="O322" t="str">
            <v>Suther&amp;Schoen</v>
          </cell>
          <cell r="P322" t="str">
            <v>6 weeks</v>
          </cell>
          <cell r="Q322"/>
          <cell r="R322"/>
        </row>
        <row r="323">
          <cell r="B323">
            <v>317</v>
          </cell>
          <cell r="C323">
            <v>1</v>
          </cell>
          <cell r="D323" t="str">
            <v>Rope</v>
          </cell>
          <cell r="E323" t="str">
            <v>ОСП0006933</v>
          </cell>
          <cell r="F323">
            <v>40451514014</v>
          </cell>
          <cell r="G323" t="str">
            <v>SS10911D0320315</v>
          </cell>
          <cell r="H323" t="str">
            <v>Пружинная подвеска каната Type D номинальный размер 11</v>
          </cell>
          <cell r="I323" t="str">
            <v>Rope suspension type D with rope sockets, nominal  size 11, acc. EN13411-7 with eye bolt M16x320</v>
          </cell>
          <cell r="J323" t="str">
            <v>шт</v>
          </cell>
          <cell r="K323">
            <v>10</v>
          </cell>
          <cell r="L323"/>
          <cell r="M323" t="str">
            <v>Stock</v>
          </cell>
          <cell r="N323" t="str">
            <v>Germany</v>
          </cell>
          <cell r="O323" t="str">
            <v>Suther&amp;Schoen</v>
          </cell>
          <cell r="P323" t="str">
            <v>6 weeks</v>
          </cell>
          <cell r="Q323"/>
          <cell r="R323"/>
        </row>
        <row r="324">
          <cell r="B324">
            <v>318</v>
          </cell>
          <cell r="C324">
            <v>1</v>
          </cell>
          <cell r="D324" t="str">
            <v>Rope</v>
          </cell>
          <cell r="E324" t="str">
            <v>ОСП0005661</v>
          </cell>
          <cell r="F324">
            <v>40451514025</v>
          </cell>
          <cell r="G324" t="str">
            <v>DK1080000000142</v>
          </cell>
          <cell r="H324" t="str">
            <v>Зажим канатный DIN 1142, 8 мм</v>
          </cell>
          <cell r="I324" t="str">
            <v>Wire rope clamps DIN 1142, 8 mm</v>
          </cell>
          <cell r="J324" t="str">
            <v>шт</v>
          </cell>
          <cell r="K324">
            <v>10</v>
          </cell>
          <cell r="L324"/>
          <cell r="M324" t="str">
            <v>Stock</v>
          </cell>
          <cell r="N324" t="str">
            <v>Germany</v>
          </cell>
          <cell r="O324" t="str">
            <v>Suther&amp;Schoen</v>
          </cell>
          <cell r="P324" t="str">
            <v>6 weeks</v>
          </cell>
          <cell r="Q324"/>
          <cell r="R324"/>
        </row>
        <row r="325">
          <cell r="B325">
            <v>319</v>
          </cell>
          <cell r="C325">
            <v>1</v>
          </cell>
          <cell r="D325" t="str">
            <v>Rope</v>
          </cell>
          <cell r="E325" t="str">
            <v>ОСП0005663</v>
          </cell>
          <cell r="F325">
            <v>40451514015</v>
          </cell>
          <cell r="G325" t="str">
            <v>DK1120000000142</v>
          </cell>
          <cell r="H325" t="str">
            <v>Зажим канатный DIN 1142, 12 мм</v>
          </cell>
          <cell r="I325" t="str">
            <v>Wire rope clamps DIN 1142, 12 mm</v>
          </cell>
          <cell r="J325" t="str">
            <v>шт</v>
          </cell>
          <cell r="K325">
            <v>10</v>
          </cell>
          <cell r="L325"/>
          <cell r="M325" t="str">
            <v>Stock</v>
          </cell>
          <cell r="N325" t="str">
            <v>Germany</v>
          </cell>
          <cell r="O325" t="str">
            <v>Suther&amp;Schoen</v>
          </cell>
          <cell r="P325" t="str">
            <v>6 weeks</v>
          </cell>
          <cell r="Q325"/>
          <cell r="R325"/>
        </row>
        <row r="326">
          <cell r="B326">
            <v>320</v>
          </cell>
          <cell r="C326">
            <v>1</v>
          </cell>
          <cell r="D326" t="str">
            <v>Rope</v>
          </cell>
          <cell r="E326" t="str">
            <v>ОСП0007129</v>
          </cell>
          <cell r="F326">
            <v>40451514030</v>
          </cell>
          <cell r="G326" t="str">
            <v>SE1070725100741</v>
          </cell>
          <cell r="H326" t="str">
            <v>Устройство предотвращения скручивания каната</v>
          </cell>
          <cell r="I326" t="str">
            <v>Rope anti twist set (2 x Wire rope 7x7 s=2,5mm L=1000mm, 2 x Wire rope clamp DIN 741 NG3, in PE bag)</v>
          </cell>
          <cell r="J326" t="str">
            <v>шт</v>
          </cell>
          <cell r="K326">
            <v>10</v>
          </cell>
          <cell r="L326"/>
          <cell r="M326" t="str">
            <v>Stock</v>
          </cell>
          <cell r="N326" t="str">
            <v>Germany</v>
          </cell>
          <cell r="O326" t="str">
            <v>Suther&amp;Schoen</v>
          </cell>
          <cell r="P326" t="str">
            <v>6 weeks</v>
          </cell>
          <cell r="Q326"/>
          <cell r="R326"/>
        </row>
        <row r="327">
          <cell r="B327">
            <v>321</v>
          </cell>
          <cell r="C327">
            <v>0</v>
          </cell>
          <cell r="D327" t="str">
            <v>Rope</v>
          </cell>
          <cell r="E327" t="str">
            <v>ОСП0007059</v>
          </cell>
          <cell r="F327">
            <v>40451514100</v>
          </cell>
          <cell r="G327"/>
          <cell r="H327" t="str">
            <v>AY Канат 8 мм PAWO F3 8x19S-IWRC 1570 U sZ, 83,1 kN, с заделкой</v>
          </cell>
          <cell r="I327" t="str">
            <v>AY Rope 8 mm PAWO F3 8x19S-IWRC 1570 U sZ, 83,1 kN</v>
          </cell>
          <cell r="J327" t="str">
            <v>компл</v>
          </cell>
          <cell r="K327">
            <v>10</v>
          </cell>
          <cell r="L327" t="str">
            <v>Assembly</v>
          </cell>
          <cell r="M327" t="str">
            <v>Order</v>
          </cell>
          <cell r="N327" t="str">
            <v>Germany</v>
          </cell>
          <cell r="O327" t="str">
            <v>Gustav Wolf</v>
          </cell>
          <cell r="P327" t="str">
            <v>12 weeks</v>
          </cell>
          <cell r="Q327"/>
          <cell r="R327"/>
        </row>
        <row r="328">
          <cell r="B328">
            <v>322</v>
          </cell>
          <cell r="C328">
            <v>1</v>
          </cell>
          <cell r="D328" t="str">
            <v>Rope</v>
          </cell>
          <cell r="E328" t="str">
            <v>ОСП0006929</v>
          </cell>
          <cell r="F328">
            <v>40451514122</v>
          </cell>
          <cell r="G328" t="str">
            <v>761208031</v>
          </cell>
          <cell r="H328" t="str">
            <v>Канат 8 мм PAWO F3 8x19S-IWRC 1570 U sZ, 38 kN</v>
          </cell>
          <cell r="I328" t="str">
            <v>Rope 8 mm PAWO F3 8x19S-IWRC 1570 U sZ, 38 kN</v>
          </cell>
          <cell r="J328" t="str">
            <v>м</v>
          </cell>
          <cell r="K328"/>
          <cell r="L328"/>
          <cell r="M328" t="str">
            <v>Stock</v>
          </cell>
          <cell r="N328" t="str">
            <v>Germany</v>
          </cell>
          <cell r="O328" t="str">
            <v>Gustav Wolf</v>
          </cell>
          <cell r="P328" t="str">
            <v>12 weeks</v>
          </cell>
          <cell r="Q328"/>
          <cell r="R328"/>
        </row>
        <row r="329">
          <cell r="B329">
            <v>323</v>
          </cell>
          <cell r="C329">
            <v>1</v>
          </cell>
          <cell r="D329" t="str">
            <v>Car</v>
          </cell>
          <cell r="E329" t="str">
            <v>ОСП0008972</v>
          </cell>
          <cell r="F329">
            <v>46451514140</v>
          </cell>
          <cell r="G329" t="str">
            <v>6167S000000_00</v>
          </cell>
          <cell r="H329" t="str">
            <v>AY Комплект крепления канатов, 4 пружины (контроллер E.MOD)</v>
          </cell>
          <cell r="I329" t="str">
            <v>AY Car rope suspension plate kit, 4 springs (controller E.MOD)</v>
          </cell>
          <cell r="J329" t="str">
            <v>компл</v>
          </cell>
          <cell r="K329">
            <v>10</v>
          </cell>
          <cell r="L329" t="str">
            <v>Assembly</v>
          </cell>
          <cell r="M329" t="str">
            <v>Stock</v>
          </cell>
          <cell r="N329" t="str">
            <v>Russia</v>
          </cell>
          <cell r="O329" t="str">
            <v>Эталон</v>
          </cell>
          <cell r="P329" t="str">
            <v>4 weeks</v>
          </cell>
          <cell r="Q329"/>
          <cell r="R329"/>
        </row>
        <row r="330">
          <cell r="B330">
            <v>324</v>
          </cell>
          <cell r="C330">
            <v>1</v>
          </cell>
          <cell r="D330" t="str">
            <v>Car</v>
          </cell>
          <cell r="E330" t="str">
            <v>ОСП0010165</v>
          </cell>
          <cell r="F330"/>
          <cell r="G330" t="str">
            <v>6167S000000_00</v>
          </cell>
          <cell r="H330" t="str">
            <v>Комплект крепления канатов, 4 пружины (контроллер E.MOD)</v>
          </cell>
          <cell r="I330" t="str">
            <v>Car rope suspension plate kit, 4 springs (controller E.MOD)</v>
          </cell>
          <cell r="J330" t="str">
            <v>шт</v>
          </cell>
          <cell r="K330"/>
          <cell r="L330"/>
          <cell r="M330" t="str">
            <v>Stock</v>
          </cell>
          <cell r="N330" t="str">
            <v>Russia</v>
          </cell>
          <cell r="O330" t="str">
            <v>Эталон</v>
          </cell>
          <cell r="P330" t="str">
            <v>4 weeks</v>
          </cell>
          <cell r="Q330"/>
          <cell r="R330"/>
        </row>
        <row r="331">
          <cell r="B331">
            <v>325</v>
          </cell>
          <cell r="C331">
            <v>0</v>
          </cell>
          <cell r="D331" t="str">
            <v>Car</v>
          </cell>
          <cell r="E331" t="str">
            <v>ОСП0008986</v>
          </cell>
          <cell r="F331">
            <v>46451514144</v>
          </cell>
          <cell r="G331" t="str">
            <v>6167S005000_01</v>
          </cell>
          <cell r="H331" t="str">
            <v>AY Комплект крепления канатов, 4 пружины (контроллер MCM V2)</v>
          </cell>
          <cell r="I331" t="str">
            <v>AY Car rope suspension plate kit, 4 springs (controller MCM V2)</v>
          </cell>
          <cell r="J331" t="str">
            <v>компл</v>
          </cell>
          <cell r="K331">
            <v>10</v>
          </cell>
          <cell r="L331" t="str">
            <v>Assembly</v>
          </cell>
          <cell r="M331" t="str">
            <v>Order</v>
          </cell>
          <cell r="N331" t="str">
            <v>Russia</v>
          </cell>
          <cell r="O331" t="str">
            <v>Эталон</v>
          </cell>
          <cell r="P331" t="str">
            <v>4 weeks</v>
          </cell>
          <cell r="Q331"/>
          <cell r="R331"/>
        </row>
        <row r="332">
          <cell r="B332">
            <v>326</v>
          </cell>
          <cell r="C332">
            <v>0</v>
          </cell>
          <cell r="D332" t="str">
            <v>Car</v>
          </cell>
          <cell r="E332" t="str">
            <v>ОСП0010168</v>
          </cell>
          <cell r="F332"/>
          <cell r="G332" t="str">
            <v>6167S005000_01</v>
          </cell>
          <cell r="H332" t="str">
            <v>Комплект крепления канатов, 4 пружины (контроллер MCM V2)</v>
          </cell>
          <cell r="I332" t="str">
            <v>Car rope suspension plate kit, 4 springs (controller MCM V2)</v>
          </cell>
          <cell r="J332" t="str">
            <v>шт</v>
          </cell>
          <cell r="K332"/>
          <cell r="L332"/>
          <cell r="M332" t="str">
            <v>Order</v>
          </cell>
          <cell r="N332" t="str">
            <v>Russia</v>
          </cell>
          <cell r="O332" t="str">
            <v>Эталон</v>
          </cell>
          <cell r="P332" t="str">
            <v>4 weeks</v>
          </cell>
          <cell r="Q332"/>
          <cell r="R332"/>
        </row>
        <row r="333">
          <cell r="B333">
            <v>327</v>
          </cell>
          <cell r="C333">
            <v>1</v>
          </cell>
          <cell r="D333" t="str">
            <v>Car</v>
          </cell>
          <cell r="E333" t="str">
            <v>ОСП0008974</v>
          </cell>
          <cell r="F333">
            <v>46451514142</v>
          </cell>
          <cell r="G333" t="str">
            <v>6167S004000_00</v>
          </cell>
          <cell r="H333" t="str">
            <v>AY Комплект крепления канатов, 6 пружин (контроллер E.MOD)</v>
          </cell>
          <cell r="I333" t="str">
            <v>AY Car rope suspension plate kit, 6 springs (controller E.MOD)</v>
          </cell>
          <cell r="J333" t="str">
            <v>шт</v>
          </cell>
          <cell r="K333">
            <v>10</v>
          </cell>
          <cell r="L333" t="str">
            <v>Assembly</v>
          </cell>
          <cell r="M333" t="str">
            <v>Stock</v>
          </cell>
          <cell r="N333" t="str">
            <v>Russia</v>
          </cell>
          <cell r="O333" t="str">
            <v>Эталон</v>
          </cell>
          <cell r="P333" t="str">
            <v>4 weeks</v>
          </cell>
          <cell r="Q333"/>
          <cell r="R333"/>
        </row>
        <row r="334">
          <cell r="B334">
            <v>328</v>
          </cell>
          <cell r="C334">
            <v>1</v>
          </cell>
          <cell r="D334" t="str">
            <v>Car</v>
          </cell>
          <cell r="E334" t="str">
            <v>ОСП0010166</v>
          </cell>
          <cell r="F334"/>
          <cell r="G334" t="str">
            <v>6167S004000_00</v>
          </cell>
          <cell r="H334" t="str">
            <v>Комплект крепления канатов, 6 пружин (контроллер E.MOD)</v>
          </cell>
          <cell r="I334" t="str">
            <v>Car rope suspension plate kit, 6 springs (controller E.MOD)</v>
          </cell>
          <cell r="J334" t="str">
            <v>шт</v>
          </cell>
          <cell r="K334"/>
          <cell r="L334"/>
          <cell r="M334" t="str">
            <v>Stock</v>
          </cell>
          <cell r="N334" t="str">
            <v>Russia</v>
          </cell>
          <cell r="O334" t="str">
            <v>Эталон</v>
          </cell>
          <cell r="P334" t="str">
            <v>4 weeks</v>
          </cell>
          <cell r="Q334"/>
          <cell r="R334"/>
        </row>
        <row r="335">
          <cell r="B335">
            <v>329</v>
          </cell>
          <cell r="C335">
            <v>0</v>
          </cell>
          <cell r="D335" t="str">
            <v>Car</v>
          </cell>
          <cell r="E335" t="str">
            <v>ОСП0008975</v>
          </cell>
          <cell r="F335">
            <v>46451514143</v>
          </cell>
          <cell r="G335" t="str">
            <v>6167S003000_01</v>
          </cell>
          <cell r="H335" t="str">
            <v>AY Комплект крепления канатов, 6 пружин (контроллер MCM V2)</v>
          </cell>
          <cell r="I335" t="str">
            <v>AY Car rope suspension plate kit, 6 springs (controller MCM V2)</v>
          </cell>
          <cell r="J335" t="str">
            <v>компл</v>
          </cell>
          <cell r="K335">
            <v>10</v>
          </cell>
          <cell r="L335" t="str">
            <v>Assembly</v>
          </cell>
          <cell r="M335" t="str">
            <v>Order</v>
          </cell>
          <cell r="N335" t="str">
            <v>Russia</v>
          </cell>
          <cell r="O335" t="str">
            <v>Эталон</v>
          </cell>
          <cell r="P335" t="str">
            <v>4 weeks</v>
          </cell>
          <cell r="Q335"/>
          <cell r="R335"/>
        </row>
        <row r="336">
          <cell r="B336">
            <v>330</v>
          </cell>
          <cell r="C336">
            <v>0</v>
          </cell>
          <cell r="D336" t="str">
            <v>Car</v>
          </cell>
          <cell r="E336" t="str">
            <v>ОСП0010167</v>
          </cell>
          <cell r="F336"/>
          <cell r="G336" t="str">
            <v>6167S003000_01</v>
          </cell>
          <cell r="H336" t="str">
            <v>Комплект крепления канатов, 6 пружин (контроллер MCM V2)</v>
          </cell>
          <cell r="I336" t="str">
            <v>Car rope suspension plate kit, 6 springs (controller MCM V2)</v>
          </cell>
          <cell r="J336" t="str">
            <v>шт</v>
          </cell>
          <cell r="K336"/>
          <cell r="L336"/>
          <cell r="M336" t="str">
            <v>Order</v>
          </cell>
          <cell r="N336" t="str">
            <v>Russia</v>
          </cell>
          <cell r="O336" t="str">
            <v>Эталон</v>
          </cell>
          <cell r="P336" t="str">
            <v>4 weeks</v>
          </cell>
          <cell r="Q336"/>
          <cell r="R336"/>
        </row>
        <row r="337">
          <cell r="B337">
            <v>331</v>
          </cell>
          <cell r="C337">
            <v>1</v>
          </cell>
          <cell r="D337" t="str">
            <v>Car</v>
          </cell>
          <cell r="E337" t="str">
            <v>ОСП0006127</v>
          </cell>
          <cell r="F337">
            <v>40452408010</v>
          </cell>
          <cell r="G337" t="str">
            <v>99000010281</v>
          </cell>
          <cell r="H337" t="str">
            <v>Пружина AMC230</v>
          </cell>
          <cell r="I337" t="str">
            <v>Car insulation spring AMC230</v>
          </cell>
          <cell r="J337" t="str">
            <v>шт</v>
          </cell>
          <cell r="K337">
            <v>10</v>
          </cell>
          <cell r="L337"/>
          <cell r="M337" t="str">
            <v>Stock</v>
          </cell>
          <cell r="N337" t="str">
            <v>Germany</v>
          </cell>
          <cell r="O337" t="str">
            <v>tkAW</v>
          </cell>
          <cell r="P337" t="str">
            <v>6 weeks</v>
          </cell>
          <cell r="Q337"/>
          <cell r="R337"/>
        </row>
        <row r="338">
          <cell r="B338">
            <v>332</v>
          </cell>
          <cell r="C338">
            <v>1</v>
          </cell>
          <cell r="D338" t="str">
            <v>Car</v>
          </cell>
          <cell r="E338" t="str">
            <v>ОСП0007358</v>
          </cell>
          <cell r="F338">
            <v>46452408010</v>
          </cell>
          <cell r="G338"/>
          <cell r="H338" t="str">
            <v>Пружина сжатия 1,2х11,2х30 мм</v>
          </cell>
          <cell r="I338" t="str">
            <v>Compression spring 1,2х11,2х30 mm</v>
          </cell>
          <cell r="J338" t="str">
            <v>шт</v>
          </cell>
          <cell r="K338">
            <v>10</v>
          </cell>
          <cell r="L338"/>
          <cell r="M338" t="str">
            <v>Stock</v>
          </cell>
          <cell r="N338" t="str">
            <v>Russia</v>
          </cell>
          <cell r="O338"/>
          <cell r="P338" t="str">
            <v>2 weeks</v>
          </cell>
          <cell r="Q338"/>
          <cell r="R338"/>
        </row>
        <row r="339">
          <cell r="B339">
            <v>333</v>
          </cell>
          <cell r="C339">
            <v>1</v>
          </cell>
          <cell r="D339" t="str">
            <v>Car</v>
          </cell>
          <cell r="E339" t="str">
            <v>ОСП0006937</v>
          </cell>
          <cell r="F339">
            <v>46451519002</v>
          </cell>
          <cell r="G339"/>
          <cell r="H339" t="str">
            <v>Кожух светильника кабины лифта Spot</v>
          </cell>
          <cell r="I339" t="str">
            <v>LED Spot protection bracket</v>
          </cell>
          <cell r="J339" t="str">
            <v>шт</v>
          </cell>
          <cell r="K339">
            <v>9</v>
          </cell>
          <cell r="L339"/>
          <cell r="M339" t="str">
            <v>Order</v>
          </cell>
          <cell r="N339" t="str">
            <v>Russia</v>
          </cell>
          <cell r="O339" t="str">
            <v>Эталон</v>
          </cell>
          <cell r="P339" t="str">
            <v>4 weeks</v>
          </cell>
          <cell r="Q339"/>
          <cell r="R339"/>
        </row>
        <row r="340">
          <cell r="B340">
            <v>334</v>
          </cell>
          <cell r="C340">
            <v>1</v>
          </cell>
          <cell r="D340" t="str">
            <v>Car</v>
          </cell>
          <cell r="E340" t="str">
            <v>ОСП0006971</v>
          </cell>
          <cell r="F340">
            <v>46451519211</v>
          </cell>
          <cell r="G340"/>
          <cell r="H340" t="str">
            <v>Кабина лифта  RRL 1000, FF, RAL7032, R (MOTEGO)</v>
          </cell>
          <cell r="I340" t="str">
            <v>RRL1000W-FF-RAL7032-M-2SO1200R</v>
          </cell>
          <cell r="J340" t="str">
            <v>компл</v>
          </cell>
          <cell r="K340">
            <v>9</v>
          </cell>
          <cell r="L340"/>
          <cell r="M340" t="str">
            <v>Order</v>
          </cell>
          <cell r="N340" t="str">
            <v>Russia</v>
          </cell>
          <cell r="O340" t="str">
            <v>Эталон</v>
          </cell>
          <cell r="P340" t="str">
            <v>6 weeks</v>
          </cell>
          <cell r="Q340"/>
          <cell r="R340"/>
        </row>
        <row r="341">
          <cell r="B341">
            <v>335</v>
          </cell>
          <cell r="C341">
            <v>1</v>
          </cell>
          <cell r="D341" t="str">
            <v>Car</v>
          </cell>
          <cell r="E341" t="str">
            <v>ОСП0008649</v>
          </cell>
          <cell r="F341">
            <v>46451519232</v>
          </cell>
          <cell r="G341"/>
          <cell r="H341" t="str">
            <v>Кабина лифта  RRL1000D-DA-FF-RAL7032-M-2CO800</v>
          </cell>
          <cell r="I341" t="str">
            <v>RRL1000D-DA-FF-RAL7032-M-2CO800</v>
          </cell>
          <cell r="J341" t="str">
            <v>компл</v>
          </cell>
          <cell r="K341">
            <v>9</v>
          </cell>
          <cell r="L341"/>
          <cell r="M341" t="str">
            <v>Order</v>
          </cell>
          <cell r="N341" t="str">
            <v>Russia</v>
          </cell>
          <cell r="O341" t="str">
            <v>Эталон</v>
          </cell>
          <cell r="P341" t="str">
            <v>6 weeks</v>
          </cell>
          <cell r="Q341"/>
          <cell r="R341"/>
        </row>
        <row r="342">
          <cell r="B342">
            <v>336</v>
          </cell>
          <cell r="C342">
            <v>1</v>
          </cell>
          <cell r="D342" t="str">
            <v>Car</v>
          </cell>
          <cell r="E342" t="str">
            <v>ОСП0008653</v>
          </cell>
          <cell r="F342">
            <v>46451519236</v>
          </cell>
          <cell r="G342"/>
          <cell r="H342" t="str">
            <v>Кабина лифта  RRL1000D-DA-FF-RAL7032-M-2SO900L</v>
          </cell>
          <cell r="I342" t="str">
            <v>RRL1000D-DA-FF-RAL7032-M-2SO900L</v>
          </cell>
          <cell r="J342" t="str">
            <v>компл</v>
          </cell>
          <cell r="K342">
            <v>9</v>
          </cell>
          <cell r="L342"/>
          <cell r="M342" t="str">
            <v>Order</v>
          </cell>
          <cell r="N342" t="str">
            <v>Russia</v>
          </cell>
          <cell r="O342" t="str">
            <v>Эталон</v>
          </cell>
          <cell r="P342" t="str">
            <v>6 weeks</v>
          </cell>
          <cell r="Q342"/>
          <cell r="R342"/>
        </row>
        <row r="343">
          <cell r="B343">
            <v>337</v>
          </cell>
          <cell r="C343">
            <v>1</v>
          </cell>
          <cell r="D343" t="str">
            <v>Car</v>
          </cell>
          <cell r="E343" t="str">
            <v>ОСП0008657</v>
          </cell>
          <cell r="F343">
            <v>46451519240</v>
          </cell>
          <cell r="G343"/>
          <cell r="H343" t="str">
            <v>Кабина лифта  RRL1000D-DA-FF-RAL7032-M-2SO900R</v>
          </cell>
          <cell r="I343" t="str">
            <v>RRL1000D-DA-FF-RAL7032-M-2SO900R</v>
          </cell>
          <cell r="J343" t="str">
            <v>компл</v>
          </cell>
          <cell r="K343">
            <v>9</v>
          </cell>
          <cell r="L343"/>
          <cell r="M343" t="str">
            <v>Order</v>
          </cell>
          <cell r="N343" t="str">
            <v>Russia</v>
          </cell>
          <cell r="O343" t="str">
            <v>Эталон</v>
          </cell>
          <cell r="P343" t="str">
            <v>6 weeks</v>
          </cell>
          <cell r="Q343"/>
          <cell r="R343"/>
        </row>
        <row r="344">
          <cell r="B344">
            <v>338</v>
          </cell>
          <cell r="C344">
            <v>1</v>
          </cell>
          <cell r="D344" t="str">
            <v>Car</v>
          </cell>
          <cell r="E344" t="str">
            <v>ОСП0008650</v>
          </cell>
          <cell r="F344">
            <v>46451519233</v>
          </cell>
          <cell r="G344"/>
          <cell r="H344" t="str">
            <v>Кабина лифта  RRL1000D-DA-FF-SS-M-2CO800</v>
          </cell>
          <cell r="I344" t="str">
            <v>RRL1000D-DA-FF-SS-M-2CO800</v>
          </cell>
          <cell r="J344" t="str">
            <v>компл</v>
          </cell>
          <cell r="K344">
            <v>9</v>
          </cell>
          <cell r="L344"/>
          <cell r="M344" t="str">
            <v>Order</v>
          </cell>
          <cell r="N344" t="str">
            <v>Russia</v>
          </cell>
          <cell r="O344" t="str">
            <v>Эталон</v>
          </cell>
          <cell r="P344" t="str">
            <v>6 weeks</v>
          </cell>
          <cell r="Q344"/>
          <cell r="R344"/>
        </row>
        <row r="345">
          <cell r="B345">
            <v>339</v>
          </cell>
          <cell r="C345">
            <v>1</v>
          </cell>
          <cell r="D345" t="str">
            <v>Car</v>
          </cell>
          <cell r="E345" t="str">
            <v>ОСП0008654</v>
          </cell>
          <cell r="F345">
            <v>46451519237</v>
          </cell>
          <cell r="G345"/>
          <cell r="H345" t="str">
            <v>Кабина лифта  RRL1000D-DA-FF-SS-M-2SO900L</v>
          </cell>
          <cell r="I345" t="str">
            <v>RRL1000D-DA-FF-SS-M-2SO900L</v>
          </cell>
          <cell r="J345" t="str">
            <v>компл</v>
          </cell>
          <cell r="K345">
            <v>9</v>
          </cell>
          <cell r="L345"/>
          <cell r="M345" t="str">
            <v>Order</v>
          </cell>
          <cell r="N345" t="str">
            <v>Russia</v>
          </cell>
          <cell r="O345" t="str">
            <v>Эталон</v>
          </cell>
          <cell r="P345" t="str">
            <v>6 weeks</v>
          </cell>
          <cell r="Q345"/>
          <cell r="R345"/>
        </row>
        <row r="346">
          <cell r="B346">
            <v>340</v>
          </cell>
          <cell r="C346">
            <v>1</v>
          </cell>
          <cell r="D346" t="str">
            <v>Car</v>
          </cell>
          <cell r="E346" t="str">
            <v>ОСП0008658</v>
          </cell>
          <cell r="F346">
            <v>46451519241</v>
          </cell>
          <cell r="G346"/>
          <cell r="H346" t="str">
            <v>Кабина лифта  RRL1000D-DA-FF-SS-M-2SO900R</v>
          </cell>
          <cell r="I346" t="str">
            <v>RRL1000D-DA-FF-SS-M-2SO900R</v>
          </cell>
          <cell r="J346" t="str">
            <v>компл</v>
          </cell>
          <cell r="K346">
            <v>9</v>
          </cell>
          <cell r="L346"/>
          <cell r="M346" t="str">
            <v>Order</v>
          </cell>
          <cell r="N346" t="str">
            <v>Russia</v>
          </cell>
          <cell r="O346" t="str">
            <v>Эталон</v>
          </cell>
          <cell r="P346" t="str">
            <v>6 weeks</v>
          </cell>
          <cell r="Q346"/>
          <cell r="R346"/>
        </row>
        <row r="347">
          <cell r="B347">
            <v>341</v>
          </cell>
          <cell r="C347">
            <v>1</v>
          </cell>
          <cell r="D347" t="str">
            <v>Car</v>
          </cell>
          <cell r="E347" t="str">
            <v>ОСП0008647</v>
          </cell>
          <cell r="F347">
            <v>46451519230</v>
          </cell>
          <cell r="G347"/>
          <cell r="H347" t="str">
            <v>Кабина лифта  RRL1000D-DA-RAL7032-M-2CO800</v>
          </cell>
          <cell r="I347" t="str">
            <v>RRL1000D-DA-RAL7032-M-2CO800</v>
          </cell>
          <cell r="J347" t="str">
            <v>компл</v>
          </cell>
          <cell r="K347">
            <v>9</v>
          </cell>
          <cell r="L347"/>
          <cell r="M347" t="str">
            <v>Order</v>
          </cell>
          <cell r="N347" t="str">
            <v>Russia</v>
          </cell>
          <cell r="O347" t="str">
            <v>Эталон</v>
          </cell>
          <cell r="P347" t="str">
            <v>6 weeks</v>
          </cell>
          <cell r="Q347"/>
          <cell r="R347"/>
        </row>
        <row r="348">
          <cell r="B348">
            <v>342</v>
          </cell>
          <cell r="C348">
            <v>1</v>
          </cell>
          <cell r="D348" t="str">
            <v>Car</v>
          </cell>
          <cell r="E348" t="str">
            <v>ОСП0008651</v>
          </cell>
          <cell r="F348">
            <v>46451519234</v>
          </cell>
          <cell r="G348"/>
          <cell r="H348" t="str">
            <v>Кабина лифта  RRL1000D-DA-RAL7032-M-2SO900L</v>
          </cell>
          <cell r="I348" t="str">
            <v>RRL1000D-DA-RAL7032-M-2SO900L</v>
          </cell>
          <cell r="J348" t="str">
            <v>компл</v>
          </cell>
          <cell r="K348">
            <v>9</v>
          </cell>
          <cell r="L348"/>
          <cell r="M348" t="str">
            <v>Order</v>
          </cell>
          <cell r="N348" t="str">
            <v>Russia</v>
          </cell>
          <cell r="O348" t="str">
            <v>Эталон</v>
          </cell>
          <cell r="P348" t="str">
            <v>6 weeks</v>
          </cell>
          <cell r="Q348"/>
          <cell r="R348"/>
        </row>
        <row r="349">
          <cell r="B349">
            <v>343</v>
          </cell>
          <cell r="C349">
            <v>1</v>
          </cell>
          <cell r="D349" t="str">
            <v>Car</v>
          </cell>
          <cell r="E349" t="str">
            <v>ОСП0008655</v>
          </cell>
          <cell r="F349">
            <v>46451519238</v>
          </cell>
          <cell r="G349"/>
          <cell r="H349" t="str">
            <v>Кабина лифта  RRL1000D-DA-RAL7032-M-2SO900R</v>
          </cell>
          <cell r="I349" t="str">
            <v>RRL1000D-DA-RAL7032-M-2SO900R</v>
          </cell>
          <cell r="J349" t="str">
            <v>компл</v>
          </cell>
          <cell r="K349">
            <v>9</v>
          </cell>
          <cell r="L349"/>
          <cell r="M349" t="str">
            <v>Order</v>
          </cell>
          <cell r="N349" t="str">
            <v>Russia</v>
          </cell>
          <cell r="O349" t="str">
            <v>Эталон</v>
          </cell>
          <cell r="P349" t="str">
            <v>6 weeks</v>
          </cell>
          <cell r="Q349"/>
          <cell r="R349"/>
        </row>
        <row r="350">
          <cell r="B350">
            <v>344</v>
          </cell>
          <cell r="C350">
            <v>1</v>
          </cell>
          <cell r="D350" t="str">
            <v>Car</v>
          </cell>
          <cell r="E350" t="str">
            <v>ОСП0008648</v>
          </cell>
          <cell r="F350">
            <v>46451519231</v>
          </cell>
          <cell r="G350"/>
          <cell r="H350" t="str">
            <v>Кабина лифта  RRL1000D-DA-SS-M-2CO800</v>
          </cell>
          <cell r="I350" t="str">
            <v>RRL1000D-DA-SS-M-2CO800</v>
          </cell>
          <cell r="J350" t="str">
            <v>компл</v>
          </cell>
          <cell r="K350">
            <v>9</v>
          </cell>
          <cell r="L350"/>
          <cell r="M350" t="str">
            <v>Order</v>
          </cell>
          <cell r="N350" t="str">
            <v>Russia</v>
          </cell>
          <cell r="O350" t="str">
            <v>Эталон</v>
          </cell>
          <cell r="P350" t="str">
            <v>6 weeks</v>
          </cell>
          <cell r="Q350"/>
          <cell r="R350"/>
        </row>
        <row r="351">
          <cell r="B351">
            <v>345</v>
          </cell>
          <cell r="C351">
            <v>1</v>
          </cell>
          <cell r="D351" t="str">
            <v>Car</v>
          </cell>
          <cell r="E351" t="str">
            <v>ОСП0008652</v>
          </cell>
          <cell r="F351">
            <v>46451519235</v>
          </cell>
          <cell r="G351"/>
          <cell r="H351" t="str">
            <v>Кабина лифта  RRL1000D-DA-SS-M-2SO900L</v>
          </cell>
          <cell r="I351" t="str">
            <v>RRL1000D-DA-SS-M-2SO900L</v>
          </cell>
          <cell r="J351" t="str">
            <v>компл</v>
          </cell>
          <cell r="K351">
            <v>9</v>
          </cell>
          <cell r="L351"/>
          <cell r="M351" t="str">
            <v>Order</v>
          </cell>
          <cell r="N351" t="str">
            <v>Russia</v>
          </cell>
          <cell r="O351" t="str">
            <v>Эталон</v>
          </cell>
          <cell r="P351" t="str">
            <v>6 weeks</v>
          </cell>
          <cell r="Q351"/>
          <cell r="R351"/>
        </row>
        <row r="352">
          <cell r="B352">
            <v>346</v>
          </cell>
          <cell r="C352">
            <v>1</v>
          </cell>
          <cell r="D352" t="str">
            <v>Car</v>
          </cell>
          <cell r="E352" t="str">
            <v>ОСП0008656</v>
          </cell>
          <cell r="F352">
            <v>46451519239</v>
          </cell>
          <cell r="G352"/>
          <cell r="H352" t="str">
            <v>Кабина лифта  RRL1000D-DA-SS-M-2SO900R</v>
          </cell>
          <cell r="I352" t="str">
            <v>RRL1000D-DA-SS-M-2SO900R</v>
          </cell>
          <cell r="J352" t="str">
            <v>компл</v>
          </cell>
          <cell r="K352">
            <v>9</v>
          </cell>
          <cell r="L352"/>
          <cell r="M352" t="str">
            <v>Order</v>
          </cell>
          <cell r="N352" t="str">
            <v>Russia</v>
          </cell>
          <cell r="O352" t="str">
            <v>Эталон</v>
          </cell>
          <cell r="P352" t="str">
            <v>6 weeks</v>
          </cell>
          <cell r="Q352"/>
          <cell r="R352"/>
        </row>
        <row r="353">
          <cell r="B353">
            <v>347</v>
          </cell>
          <cell r="C353">
            <v>1</v>
          </cell>
          <cell r="D353" t="str">
            <v>Car</v>
          </cell>
          <cell r="E353" t="str">
            <v>ОСП0008663</v>
          </cell>
          <cell r="F353">
            <v>46451519242</v>
          </cell>
          <cell r="G353"/>
          <cell r="H353" t="str">
            <v>Кабина лифта  RRL400-RAL7032-M-2SO700L</v>
          </cell>
          <cell r="I353" t="str">
            <v>RRL400-RAL7032-M-2SO700L</v>
          </cell>
          <cell r="J353" t="str">
            <v>компл</v>
          </cell>
          <cell r="K353">
            <v>9</v>
          </cell>
          <cell r="L353"/>
          <cell r="M353" t="str">
            <v>Order</v>
          </cell>
          <cell r="N353" t="str">
            <v>Russia</v>
          </cell>
          <cell r="O353" t="str">
            <v>Эталон</v>
          </cell>
          <cell r="P353" t="str">
            <v>6 weeks</v>
          </cell>
          <cell r="Q353"/>
          <cell r="R353"/>
        </row>
        <row r="354">
          <cell r="B354">
            <v>348</v>
          </cell>
          <cell r="C354">
            <v>1</v>
          </cell>
          <cell r="D354" t="str">
            <v>Car</v>
          </cell>
          <cell r="E354" t="str">
            <v>ОСП0008665</v>
          </cell>
          <cell r="F354">
            <v>46451519244</v>
          </cell>
          <cell r="G354"/>
          <cell r="H354" t="str">
            <v>Кабина лифта  RRL400-RAL7032-M-2SO700R</v>
          </cell>
          <cell r="I354" t="str">
            <v>RRL400-RAL7032-M-2SO700R</v>
          </cell>
          <cell r="J354" t="str">
            <v>компл</v>
          </cell>
          <cell r="K354">
            <v>9</v>
          </cell>
          <cell r="L354"/>
          <cell r="M354" t="str">
            <v>Order</v>
          </cell>
          <cell r="N354" t="str">
            <v>Russia</v>
          </cell>
          <cell r="O354" t="str">
            <v>Эталон</v>
          </cell>
          <cell r="P354" t="str">
            <v>6 weeks</v>
          </cell>
          <cell r="Q354"/>
          <cell r="R354"/>
        </row>
        <row r="355">
          <cell r="B355">
            <v>349</v>
          </cell>
          <cell r="C355">
            <v>1</v>
          </cell>
          <cell r="D355" t="str">
            <v>Car</v>
          </cell>
          <cell r="E355" t="str">
            <v>ОСП0008664</v>
          </cell>
          <cell r="F355">
            <v>46451519243</v>
          </cell>
          <cell r="G355"/>
          <cell r="H355" t="str">
            <v>Кабина лифта  RRL400-SS-M-2SO700L</v>
          </cell>
          <cell r="I355" t="str">
            <v>RRL400-SS-M-2SO700L</v>
          </cell>
          <cell r="J355" t="str">
            <v>компл</v>
          </cell>
          <cell r="K355">
            <v>9</v>
          </cell>
          <cell r="L355"/>
          <cell r="M355" t="str">
            <v>Order</v>
          </cell>
          <cell r="N355" t="str">
            <v>Russia</v>
          </cell>
          <cell r="O355" t="str">
            <v>Эталон</v>
          </cell>
          <cell r="P355" t="str">
            <v>6 weeks</v>
          </cell>
          <cell r="Q355"/>
          <cell r="R355"/>
        </row>
        <row r="356">
          <cell r="B356">
            <v>350</v>
          </cell>
          <cell r="C356">
            <v>1</v>
          </cell>
          <cell r="D356" t="str">
            <v>Car</v>
          </cell>
          <cell r="E356" t="str">
            <v>ОСП0008666</v>
          </cell>
          <cell r="F356">
            <v>46451519245</v>
          </cell>
          <cell r="G356"/>
          <cell r="H356" t="str">
            <v>Кабина лифта  RRL400-SS-M-2SO700R</v>
          </cell>
          <cell r="I356" t="str">
            <v>RRL400-SS-M-2SO700R</v>
          </cell>
          <cell r="J356" t="str">
            <v>компл</v>
          </cell>
          <cell r="K356">
            <v>9</v>
          </cell>
          <cell r="L356"/>
          <cell r="M356" t="str">
            <v>Order</v>
          </cell>
          <cell r="N356" t="str">
            <v>Russia</v>
          </cell>
          <cell r="O356" t="str">
            <v>Эталон</v>
          </cell>
          <cell r="P356" t="str">
            <v>6 weeks</v>
          </cell>
          <cell r="Q356"/>
          <cell r="R356"/>
        </row>
        <row r="357">
          <cell r="B357">
            <v>351</v>
          </cell>
          <cell r="C357">
            <v>1</v>
          </cell>
          <cell r="D357" t="str">
            <v>Car</v>
          </cell>
          <cell r="E357" t="str">
            <v>ОСП0008626</v>
          </cell>
          <cell r="F357">
            <v>46451519228</v>
          </cell>
          <cell r="G357"/>
          <cell r="H357" t="str">
            <v>Кабина лифта  RRL630-RAL7032-M-2CO800</v>
          </cell>
          <cell r="I357" t="str">
            <v>RRL630-RAL7032-M-2CO800</v>
          </cell>
          <cell r="J357" t="str">
            <v>компл</v>
          </cell>
          <cell r="K357">
            <v>9</v>
          </cell>
          <cell r="L357"/>
          <cell r="M357" t="str">
            <v>Order</v>
          </cell>
          <cell r="N357" t="str">
            <v>Russia</v>
          </cell>
          <cell r="O357" t="str">
            <v>Эталон</v>
          </cell>
          <cell r="P357" t="str">
            <v>6 weeks</v>
          </cell>
          <cell r="Q357"/>
          <cell r="R357"/>
        </row>
        <row r="358">
          <cell r="B358">
            <v>352</v>
          </cell>
          <cell r="C358">
            <v>1</v>
          </cell>
          <cell r="D358" t="str">
            <v>Car</v>
          </cell>
          <cell r="E358" t="str">
            <v>ОСП0008623</v>
          </cell>
          <cell r="F358">
            <v>46451519224</v>
          </cell>
          <cell r="G358"/>
          <cell r="H358" t="str">
            <v>Кабина лифта  RRL630-RAL7032-M-2SO900L</v>
          </cell>
          <cell r="I358" t="str">
            <v>RRL630-RAL7032-M-2SO900L</v>
          </cell>
          <cell r="J358" t="str">
            <v>компл</v>
          </cell>
          <cell r="K358">
            <v>9</v>
          </cell>
          <cell r="L358"/>
          <cell r="M358" t="str">
            <v>Order</v>
          </cell>
          <cell r="N358" t="str">
            <v>Russia</v>
          </cell>
          <cell r="O358" t="str">
            <v>Эталон</v>
          </cell>
          <cell r="P358" t="str">
            <v>6 weeks</v>
          </cell>
          <cell r="Q358"/>
          <cell r="R358"/>
        </row>
        <row r="359">
          <cell r="B359">
            <v>353</v>
          </cell>
          <cell r="C359">
            <v>1</v>
          </cell>
          <cell r="D359" t="str">
            <v>Car</v>
          </cell>
          <cell r="E359" t="str">
            <v>ОСП0010459</v>
          </cell>
          <cell r="F359">
            <v>46451519266</v>
          </cell>
          <cell r="G359"/>
          <cell r="H359" t="str">
            <v>Кабина лифта  RRL630-RAL7032-M-2SO900L( кам.пол, смещ 50)</v>
          </cell>
          <cell r="I359" t="str">
            <v>RRL630-RAL7032-M-2SO900L (stone floor, offset 50)</v>
          </cell>
          <cell r="J359" t="str">
            <v>компл</v>
          </cell>
          <cell r="K359">
            <v>9</v>
          </cell>
          <cell r="L359"/>
          <cell r="M359" t="str">
            <v>Order</v>
          </cell>
          <cell r="N359" t="str">
            <v>Russia</v>
          </cell>
          <cell r="O359" t="str">
            <v>Эталон</v>
          </cell>
          <cell r="P359" t="str">
            <v>6 weeks</v>
          </cell>
          <cell r="Q359"/>
          <cell r="R359"/>
        </row>
        <row r="360">
          <cell r="B360">
            <v>354</v>
          </cell>
          <cell r="C360">
            <v>1</v>
          </cell>
          <cell r="D360" t="str">
            <v>Car</v>
          </cell>
          <cell r="E360" t="str">
            <v>ОСП0008625</v>
          </cell>
          <cell r="F360">
            <v>46451519226</v>
          </cell>
          <cell r="G360"/>
          <cell r="H360" t="str">
            <v>Кабина лифта  RRL630-RAL7032-M-2SO900R</v>
          </cell>
          <cell r="I360" t="str">
            <v>RRL630-RAL7032-M-2SO900R</v>
          </cell>
          <cell r="J360" t="str">
            <v>компл</v>
          </cell>
          <cell r="K360">
            <v>9</v>
          </cell>
          <cell r="L360"/>
          <cell r="M360" t="str">
            <v>Order</v>
          </cell>
          <cell r="N360" t="str">
            <v>Russia</v>
          </cell>
          <cell r="O360" t="str">
            <v>Эталон</v>
          </cell>
          <cell r="P360" t="str">
            <v>6 weeks</v>
          </cell>
          <cell r="Q360"/>
          <cell r="R360"/>
        </row>
        <row r="361">
          <cell r="B361">
            <v>355</v>
          </cell>
          <cell r="C361">
            <v>1</v>
          </cell>
          <cell r="D361" t="str">
            <v>Car</v>
          </cell>
          <cell r="E361" t="str">
            <v>ОСП0010460</v>
          </cell>
          <cell r="F361">
            <v>46451519267</v>
          </cell>
          <cell r="G361"/>
          <cell r="H361" t="str">
            <v>Кабина лифта  RRL630-RAL7032-M-2SO900R( кам.пол, смещ 50)</v>
          </cell>
          <cell r="I361" t="str">
            <v>RRL630-RAL7032-M-2SO900R (stone floor, offset 50)</v>
          </cell>
          <cell r="J361" t="str">
            <v>компл</v>
          </cell>
          <cell r="K361">
            <v>9</v>
          </cell>
          <cell r="L361"/>
          <cell r="M361" t="str">
            <v>Order</v>
          </cell>
          <cell r="N361" t="str">
            <v>Russia</v>
          </cell>
          <cell r="O361" t="str">
            <v>Эталон</v>
          </cell>
          <cell r="P361" t="str">
            <v>6 weeks</v>
          </cell>
          <cell r="Q361"/>
          <cell r="R361"/>
        </row>
        <row r="362">
          <cell r="B362">
            <v>356</v>
          </cell>
          <cell r="C362">
            <v>1</v>
          </cell>
          <cell r="D362" t="str">
            <v>Car</v>
          </cell>
          <cell r="E362" t="str">
            <v>ОСП0008627</v>
          </cell>
          <cell r="F362">
            <v>46451519229</v>
          </cell>
          <cell r="G362"/>
          <cell r="H362" t="str">
            <v>Кабина лифта  RRL630-SS-M-2CO800</v>
          </cell>
          <cell r="I362" t="str">
            <v>RRL630-SS-M-2CO800</v>
          </cell>
          <cell r="J362" t="str">
            <v>компл</v>
          </cell>
          <cell r="K362">
            <v>9</v>
          </cell>
          <cell r="L362"/>
          <cell r="M362" t="str">
            <v>Order</v>
          </cell>
          <cell r="N362" t="str">
            <v>Russia</v>
          </cell>
          <cell r="O362" t="str">
            <v>Эталон</v>
          </cell>
          <cell r="P362" t="str">
            <v>6 weeks</v>
          </cell>
          <cell r="Q362"/>
          <cell r="R362"/>
        </row>
        <row r="363">
          <cell r="B363">
            <v>357</v>
          </cell>
          <cell r="C363">
            <v>1</v>
          </cell>
          <cell r="D363" t="str">
            <v>Car</v>
          </cell>
          <cell r="E363" t="str">
            <v>ОСП0008624</v>
          </cell>
          <cell r="F363">
            <v>46451519225</v>
          </cell>
          <cell r="G363"/>
          <cell r="H363" t="str">
            <v>Кабина лифта  RRL630-SS-M-2SO900L</v>
          </cell>
          <cell r="I363" t="str">
            <v>RRL630-SS-M-2SO900L</v>
          </cell>
          <cell r="J363" t="str">
            <v>компл</v>
          </cell>
          <cell r="K363">
            <v>9</v>
          </cell>
          <cell r="L363"/>
          <cell r="M363" t="str">
            <v>Order</v>
          </cell>
          <cell r="N363" t="str">
            <v>Russia</v>
          </cell>
          <cell r="O363" t="str">
            <v>Эталон</v>
          </cell>
          <cell r="P363" t="str">
            <v>6 weeks</v>
          </cell>
          <cell r="Q363"/>
          <cell r="R363"/>
        </row>
        <row r="364">
          <cell r="B364">
            <v>358</v>
          </cell>
          <cell r="C364">
            <v>1</v>
          </cell>
          <cell r="D364" t="str">
            <v>Car</v>
          </cell>
          <cell r="E364" t="str">
            <v>ОСП0008641</v>
          </cell>
          <cell r="F364">
            <v>46451519227</v>
          </cell>
          <cell r="G364"/>
          <cell r="H364" t="str">
            <v>Кабина лифта  RRL630-SS-M-2SO900R</v>
          </cell>
          <cell r="I364" t="str">
            <v>RRL630-SS-M-2SO900R</v>
          </cell>
          <cell r="J364" t="str">
            <v>компл</v>
          </cell>
          <cell r="K364">
            <v>9</v>
          </cell>
          <cell r="L364"/>
          <cell r="M364" t="str">
            <v>Order</v>
          </cell>
          <cell r="N364" t="str">
            <v>Russia</v>
          </cell>
          <cell r="O364" t="str">
            <v>Эталон</v>
          </cell>
          <cell r="P364" t="str">
            <v>6 weeks</v>
          </cell>
          <cell r="Q364"/>
          <cell r="R364"/>
        </row>
        <row r="365">
          <cell r="B365">
            <v>359</v>
          </cell>
          <cell r="C365">
            <v>1</v>
          </cell>
          <cell r="D365" t="str">
            <v>Car</v>
          </cell>
          <cell r="E365" t="str">
            <v>ОСП0009001</v>
          </cell>
          <cell r="F365">
            <v>46451519214</v>
          </cell>
          <cell r="G365"/>
          <cell r="H365" t="str">
            <v>Кабина лифта RRL1000D-FF -RAL7032-M-2SO900L</v>
          </cell>
          <cell r="I365" t="str">
            <v>RRL1000D-FF -RAL7032-M-2SO900L</v>
          </cell>
          <cell r="J365" t="str">
            <v>компл</v>
          </cell>
          <cell r="K365">
            <v>9</v>
          </cell>
          <cell r="L365"/>
          <cell r="M365" t="str">
            <v>Order</v>
          </cell>
          <cell r="N365" t="str">
            <v>Russia</v>
          </cell>
          <cell r="O365" t="str">
            <v>Эталон</v>
          </cell>
          <cell r="P365" t="str">
            <v>6 weeks</v>
          </cell>
          <cell r="Q365"/>
          <cell r="R365"/>
        </row>
        <row r="366">
          <cell r="B366">
            <v>360</v>
          </cell>
          <cell r="C366">
            <v>1</v>
          </cell>
          <cell r="D366" t="str">
            <v>Car</v>
          </cell>
          <cell r="E366" t="str">
            <v>ОСП0009009</v>
          </cell>
          <cell r="F366">
            <v>46451519222</v>
          </cell>
          <cell r="G366"/>
          <cell r="H366" t="str">
            <v>Кабина лифта RRL1000D-FF-RAL7032-M-2CO800</v>
          </cell>
          <cell r="I366" t="str">
            <v>RRL1000D-FF-RAL7032-M-2CO800</v>
          </cell>
          <cell r="J366" t="str">
            <v>компл</v>
          </cell>
          <cell r="K366">
            <v>9</v>
          </cell>
          <cell r="L366"/>
          <cell r="M366" t="str">
            <v>Order</v>
          </cell>
          <cell r="N366" t="str">
            <v>Russia</v>
          </cell>
          <cell r="O366" t="str">
            <v>Эталон</v>
          </cell>
          <cell r="P366" t="str">
            <v>6 weeks</v>
          </cell>
          <cell r="Q366"/>
          <cell r="R366"/>
        </row>
        <row r="367">
          <cell r="B367">
            <v>361</v>
          </cell>
          <cell r="C367">
            <v>1</v>
          </cell>
          <cell r="D367" t="str">
            <v>Car</v>
          </cell>
          <cell r="E367" t="str">
            <v>ОСП0009005</v>
          </cell>
          <cell r="F367">
            <v>46451519218</v>
          </cell>
          <cell r="G367"/>
          <cell r="H367" t="str">
            <v>Кабина лифта RRL1000D-FF-RAL7032-M-2SO900R</v>
          </cell>
          <cell r="I367" t="str">
            <v>RRL1000D-FF-RAL7032-M-2SO900R</v>
          </cell>
          <cell r="J367" t="str">
            <v>компл</v>
          </cell>
          <cell r="K367">
            <v>9</v>
          </cell>
          <cell r="L367"/>
          <cell r="M367" t="str">
            <v>Order</v>
          </cell>
          <cell r="N367" t="str">
            <v>Russia</v>
          </cell>
          <cell r="O367" t="str">
            <v>Эталон</v>
          </cell>
          <cell r="P367" t="str">
            <v>6 weeks</v>
          </cell>
          <cell r="Q367"/>
          <cell r="R367"/>
        </row>
        <row r="368">
          <cell r="B368">
            <v>362</v>
          </cell>
          <cell r="C368">
            <v>1</v>
          </cell>
          <cell r="D368" t="str">
            <v>Car</v>
          </cell>
          <cell r="E368" t="str">
            <v>ОСП0009010</v>
          </cell>
          <cell r="F368">
            <v>46451519223</v>
          </cell>
          <cell r="G368"/>
          <cell r="H368" t="str">
            <v>Кабина лифта RRL1000D-FF-SS-M-2CO800</v>
          </cell>
          <cell r="I368" t="str">
            <v>RRL1000D-FF-SS-M-2CO800</v>
          </cell>
          <cell r="J368" t="str">
            <v>компл</v>
          </cell>
          <cell r="K368">
            <v>9</v>
          </cell>
          <cell r="L368"/>
          <cell r="M368" t="str">
            <v>Order</v>
          </cell>
          <cell r="N368" t="str">
            <v>Russia</v>
          </cell>
          <cell r="O368" t="str">
            <v>Эталон</v>
          </cell>
          <cell r="P368" t="str">
            <v>6 weeks</v>
          </cell>
          <cell r="Q368"/>
          <cell r="R368"/>
        </row>
        <row r="369">
          <cell r="B369">
            <v>363</v>
          </cell>
          <cell r="C369">
            <v>1</v>
          </cell>
          <cell r="D369" t="str">
            <v>Car</v>
          </cell>
          <cell r="E369" t="str">
            <v>ОСП0009002</v>
          </cell>
          <cell r="F369">
            <v>46451519215</v>
          </cell>
          <cell r="G369"/>
          <cell r="H369" t="str">
            <v>Кабина лифта RRL1000D-FF-SS-M-2SO900L</v>
          </cell>
          <cell r="I369" t="str">
            <v>RRL1000D-FF-SS-M-2SO900L</v>
          </cell>
          <cell r="J369" t="str">
            <v>компл</v>
          </cell>
          <cell r="K369">
            <v>9</v>
          </cell>
          <cell r="L369"/>
          <cell r="M369" t="str">
            <v>Order</v>
          </cell>
          <cell r="N369" t="str">
            <v>Russia</v>
          </cell>
          <cell r="O369" t="str">
            <v>Эталон</v>
          </cell>
          <cell r="P369" t="str">
            <v>6 weeks</v>
          </cell>
          <cell r="Q369"/>
          <cell r="R369"/>
        </row>
        <row r="370">
          <cell r="B370">
            <v>364</v>
          </cell>
          <cell r="C370">
            <v>1</v>
          </cell>
          <cell r="D370" t="str">
            <v>Car</v>
          </cell>
          <cell r="E370" t="str">
            <v>ОСП0009006</v>
          </cell>
          <cell r="F370">
            <v>46451519219</v>
          </cell>
          <cell r="G370"/>
          <cell r="H370" t="str">
            <v>Кабина лифта RRL1000D-FF-SS-M-2SO900R</v>
          </cell>
          <cell r="I370" t="str">
            <v>RRL1000D-FF-SS-M-2SO900R</v>
          </cell>
          <cell r="J370" t="str">
            <v>компл</v>
          </cell>
          <cell r="K370">
            <v>9</v>
          </cell>
          <cell r="L370"/>
          <cell r="M370" t="str">
            <v>Order</v>
          </cell>
          <cell r="N370" t="str">
            <v>Russia</v>
          </cell>
          <cell r="O370" t="str">
            <v>Эталон</v>
          </cell>
          <cell r="P370" t="str">
            <v>6 weeks</v>
          </cell>
          <cell r="Q370"/>
          <cell r="R370"/>
        </row>
        <row r="371">
          <cell r="B371">
            <v>365</v>
          </cell>
          <cell r="C371">
            <v>1</v>
          </cell>
          <cell r="D371" t="str">
            <v>Car</v>
          </cell>
          <cell r="E371" t="str">
            <v>ОСП0009007</v>
          </cell>
          <cell r="F371">
            <v>46451519220</v>
          </cell>
          <cell r="G371"/>
          <cell r="H371" t="str">
            <v>Кабина лифта RRL1000D-RAL7032-M-2CO800</v>
          </cell>
          <cell r="I371" t="str">
            <v>RRL1000D-RAL7032-M-2CO800</v>
          </cell>
          <cell r="J371" t="str">
            <v>компл</v>
          </cell>
          <cell r="K371">
            <v>9</v>
          </cell>
          <cell r="L371"/>
          <cell r="M371" t="str">
            <v>Order</v>
          </cell>
          <cell r="N371" t="str">
            <v>Russia</v>
          </cell>
          <cell r="O371" t="str">
            <v>Эталон</v>
          </cell>
          <cell r="P371" t="str">
            <v>6 weeks</v>
          </cell>
          <cell r="Q371"/>
          <cell r="R371"/>
        </row>
        <row r="372">
          <cell r="B372">
            <v>366</v>
          </cell>
          <cell r="C372">
            <v>1</v>
          </cell>
          <cell r="D372" t="str">
            <v>Car</v>
          </cell>
          <cell r="E372" t="str">
            <v>ОСП0008999</v>
          </cell>
          <cell r="F372">
            <v>46451519212</v>
          </cell>
          <cell r="G372"/>
          <cell r="H372" t="str">
            <v>Кабина лифта RRL1000D-RAL7032-M-2SO900L</v>
          </cell>
          <cell r="I372" t="str">
            <v>RRL1000D-RAL7032-M-2SO900L</v>
          </cell>
          <cell r="J372" t="str">
            <v>компл</v>
          </cell>
          <cell r="K372">
            <v>9</v>
          </cell>
          <cell r="L372"/>
          <cell r="M372" t="str">
            <v>Order</v>
          </cell>
          <cell r="N372" t="str">
            <v>Russia</v>
          </cell>
          <cell r="O372" t="str">
            <v>Эталон</v>
          </cell>
          <cell r="P372" t="str">
            <v>6 weeks</v>
          </cell>
          <cell r="Q372"/>
          <cell r="R372"/>
        </row>
        <row r="373">
          <cell r="B373">
            <v>367</v>
          </cell>
          <cell r="C373">
            <v>1</v>
          </cell>
          <cell r="D373" t="str">
            <v>Car</v>
          </cell>
          <cell r="E373" t="str">
            <v>ОСП0009003</v>
          </cell>
          <cell r="F373">
            <v>46451519216</v>
          </cell>
          <cell r="G373"/>
          <cell r="H373" t="str">
            <v>Кабина лифта RRL1000D-RAL7032-M-2SO900R</v>
          </cell>
          <cell r="I373" t="str">
            <v>RRL1000D-RAL7032-M-2SO900R</v>
          </cell>
          <cell r="J373" t="str">
            <v>компл</v>
          </cell>
          <cell r="K373">
            <v>9</v>
          </cell>
          <cell r="L373"/>
          <cell r="M373" t="str">
            <v>Order</v>
          </cell>
          <cell r="N373" t="str">
            <v>Russia</v>
          </cell>
          <cell r="O373" t="str">
            <v>Эталон</v>
          </cell>
          <cell r="P373" t="str">
            <v>6 weeks</v>
          </cell>
          <cell r="Q373"/>
          <cell r="R373"/>
        </row>
        <row r="374">
          <cell r="B374">
            <v>368</v>
          </cell>
          <cell r="C374">
            <v>1</v>
          </cell>
          <cell r="D374" t="str">
            <v>Car</v>
          </cell>
          <cell r="E374" t="str">
            <v>ОСП0009004</v>
          </cell>
          <cell r="F374">
            <v>46451519217</v>
          </cell>
          <cell r="G374"/>
          <cell r="H374" t="str">
            <v>Кабина лифта RRL1000D-SS -M-2SO900R</v>
          </cell>
          <cell r="I374" t="str">
            <v>RRL1000D-SS -M-2SO900R</v>
          </cell>
          <cell r="J374" t="str">
            <v>компл</v>
          </cell>
          <cell r="K374">
            <v>9</v>
          </cell>
          <cell r="L374"/>
          <cell r="M374" t="str">
            <v>Order</v>
          </cell>
          <cell r="N374" t="str">
            <v>Russia</v>
          </cell>
          <cell r="O374" t="str">
            <v>Эталон</v>
          </cell>
          <cell r="P374" t="str">
            <v>6 weeks</v>
          </cell>
          <cell r="Q374"/>
          <cell r="R374"/>
        </row>
        <row r="375">
          <cell r="B375">
            <v>369</v>
          </cell>
          <cell r="C375">
            <v>1</v>
          </cell>
          <cell r="D375" t="str">
            <v>Car</v>
          </cell>
          <cell r="E375" t="str">
            <v>ОСП0009008</v>
          </cell>
          <cell r="F375">
            <v>46451519221</v>
          </cell>
          <cell r="G375"/>
          <cell r="H375" t="str">
            <v>Кабина лифта RRL1000D-SS-M-2CO800</v>
          </cell>
          <cell r="I375" t="str">
            <v>RRL1000D-SS-M-2CO800</v>
          </cell>
          <cell r="J375" t="str">
            <v>компл</v>
          </cell>
          <cell r="K375">
            <v>9</v>
          </cell>
          <cell r="L375"/>
          <cell r="M375" t="str">
            <v>Order</v>
          </cell>
          <cell r="N375" t="str">
            <v>Russia</v>
          </cell>
          <cell r="O375" t="str">
            <v>Эталон</v>
          </cell>
          <cell r="P375" t="str">
            <v>6 weeks</v>
          </cell>
          <cell r="Q375"/>
          <cell r="R375"/>
        </row>
        <row r="376">
          <cell r="B376">
            <v>370</v>
          </cell>
          <cell r="C376">
            <v>1</v>
          </cell>
          <cell r="D376" t="str">
            <v>Car</v>
          </cell>
          <cell r="E376" t="str">
            <v>ОСП0009000</v>
          </cell>
          <cell r="F376">
            <v>46451519213</v>
          </cell>
          <cell r="G376"/>
          <cell r="H376" t="str">
            <v>Кабина лифта RRL1000D-SS-M-2SO900L</v>
          </cell>
          <cell r="I376" t="str">
            <v>RRL1000D-SS-M-2SO900L</v>
          </cell>
          <cell r="J376" t="str">
            <v>компл</v>
          </cell>
          <cell r="K376">
            <v>9</v>
          </cell>
          <cell r="L376"/>
          <cell r="M376" t="str">
            <v>Order</v>
          </cell>
          <cell r="N376" t="str">
            <v>Russia</v>
          </cell>
          <cell r="O376" t="str">
            <v>Эталон</v>
          </cell>
          <cell r="P376" t="str">
            <v>6 weeks</v>
          </cell>
          <cell r="Q376"/>
          <cell r="R376"/>
        </row>
        <row r="377">
          <cell r="B377">
            <v>371</v>
          </cell>
          <cell r="C377">
            <v>1</v>
          </cell>
          <cell r="D377" t="str">
            <v>Car</v>
          </cell>
          <cell r="E377" t="str">
            <v>ОСП0006967</v>
          </cell>
          <cell r="F377">
            <v>46451519203</v>
          </cell>
          <cell r="G377"/>
          <cell r="H377" t="str">
            <v>Кабина лифта RRL1000W-FF-RAL7032-M-2SO1200L</v>
          </cell>
          <cell r="I377" t="str">
            <v>RRL1000W-FF-RAL7032-M-2SO1200L</v>
          </cell>
          <cell r="J377" t="str">
            <v>компл</v>
          </cell>
          <cell r="K377">
            <v>9</v>
          </cell>
          <cell r="L377"/>
          <cell r="M377" t="str">
            <v>Order</v>
          </cell>
          <cell r="N377" t="str">
            <v>Russia</v>
          </cell>
          <cell r="O377" t="str">
            <v>Эталон</v>
          </cell>
          <cell r="P377" t="str">
            <v>6 weeks</v>
          </cell>
          <cell r="Q377"/>
          <cell r="R377"/>
        </row>
        <row r="378">
          <cell r="B378">
            <v>372</v>
          </cell>
          <cell r="C378">
            <v>1</v>
          </cell>
          <cell r="D378" t="str">
            <v>Car</v>
          </cell>
          <cell r="E378" t="str">
            <v>ОСП0006968</v>
          </cell>
          <cell r="F378">
            <v>46451519204</v>
          </cell>
          <cell r="G378"/>
          <cell r="H378" t="str">
            <v>Кабина лифта RRL1000W-FF-SS-M-2SO1200L</v>
          </cell>
          <cell r="I378" t="str">
            <v>RRL1000W-FF-SS-M-2SO1200L</v>
          </cell>
          <cell r="J378" t="str">
            <v>компл</v>
          </cell>
          <cell r="K378">
            <v>9</v>
          </cell>
          <cell r="L378"/>
          <cell r="M378" t="str">
            <v>Order</v>
          </cell>
          <cell r="N378" t="str">
            <v>Russia</v>
          </cell>
          <cell r="O378" t="str">
            <v>Эталон</v>
          </cell>
          <cell r="P378" t="str">
            <v>6 weeks</v>
          </cell>
          <cell r="Q378"/>
          <cell r="R378"/>
        </row>
        <row r="379">
          <cell r="B379">
            <v>373</v>
          </cell>
          <cell r="C379">
            <v>1</v>
          </cell>
          <cell r="D379" t="str">
            <v>Car</v>
          </cell>
          <cell r="E379" t="str">
            <v>ОСП0006972</v>
          </cell>
          <cell r="F379">
            <v>46451519210</v>
          </cell>
          <cell r="G379"/>
          <cell r="H379" t="str">
            <v>Кабина лифта RRL1000W-FF-SS-M-2SO1200R</v>
          </cell>
          <cell r="I379" t="str">
            <v>RRL1000W-FF-SS-M-2SO1200R</v>
          </cell>
          <cell r="J379" t="str">
            <v>компл</v>
          </cell>
          <cell r="K379">
            <v>9</v>
          </cell>
          <cell r="L379"/>
          <cell r="M379" t="str">
            <v>Order</v>
          </cell>
          <cell r="N379" t="str">
            <v>Russia</v>
          </cell>
          <cell r="O379" t="str">
            <v>Эталон</v>
          </cell>
          <cell r="P379" t="str">
            <v>6 weeks</v>
          </cell>
          <cell r="Q379"/>
          <cell r="R379"/>
        </row>
        <row r="380">
          <cell r="B380">
            <v>374</v>
          </cell>
          <cell r="C380">
            <v>1</v>
          </cell>
          <cell r="D380" t="str">
            <v>Car</v>
          </cell>
          <cell r="E380" t="str">
            <v>ОСП0006965</v>
          </cell>
          <cell r="F380">
            <v>46451519201</v>
          </cell>
          <cell r="G380"/>
          <cell r="H380" t="str">
            <v>Кабина лифта RRL1000W-RAL7032-M-2SO1200L</v>
          </cell>
          <cell r="I380" t="str">
            <v>RRL1000W-RAL7032-M-2SO1200L</v>
          </cell>
          <cell r="J380" t="str">
            <v>компл</v>
          </cell>
          <cell r="K380">
            <v>9</v>
          </cell>
          <cell r="L380"/>
          <cell r="M380" t="str">
            <v>Order</v>
          </cell>
          <cell r="N380" t="str">
            <v>Russia</v>
          </cell>
          <cell r="O380" t="str">
            <v>Эталон</v>
          </cell>
          <cell r="P380" t="str">
            <v>6 weeks</v>
          </cell>
          <cell r="Q380"/>
          <cell r="R380"/>
        </row>
        <row r="381">
          <cell r="B381">
            <v>375</v>
          </cell>
          <cell r="C381">
            <v>1</v>
          </cell>
          <cell r="D381" t="str">
            <v>Car</v>
          </cell>
          <cell r="E381" t="str">
            <v>ОСП0006969</v>
          </cell>
          <cell r="F381">
            <v>46451519208</v>
          </cell>
          <cell r="G381"/>
          <cell r="H381" t="str">
            <v>Кабина лифта RRL1000W-RAL7032-M-2SO1200R</v>
          </cell>
          <cell r="I381" t="str">
            <v>RRL1000W-RAL7032-M-2SO1200R</v>
          </cell>
          <cell r="J381" t="str">
            <v>компл</v>
          </cell>
          <cell r="K381">
            <v>9</v>
          </cell>
          <cell r="L381"/>
          <cell r="M381" t="str">
            <v>Order</v>
          </cell>
          <cell r="N381" t="str">
            <v>Russia</v>
          </cell>
          <cell r="O381" t="str">
            <v>Эталон</v>
          </cell>
          <cell r="P381" t="str">
            <v>6 weeks</v>
          </cell>
          <cell r="Q381"/>
          <cell r="R381"/>
        </row>
        <row r="382">
          <cell r="B382">
            <v>376</v>
          </cell>
          <cell r="C382">
            <v>1</v>
          </cell>
          <cell r="D382" t="str">
            <v>Car</v>
          </cell>
          <cell r="E382" t="str">
            <v>ОСП0006966</v>
          </cell>
          <cell r="F382">
            <v>46451519202</v>
          </cell>
          <cell r="G382"/>
          <cell r="H382" t="str">
            <v>Кабина лифта RRL1000W-SS-M-2SO1200L</v>
          </cell>
          <cell r="I382" t="str">
            <v>RRL1000W-SS-M-2SO1200L</v>
          </cell>
          <cell r="J382" t="str">
            <v>компл</v>
          </cell>
          <cell r="K382">
            <v>9</v>
          </cell>
          <cell r="L382"/>
          <cell r="M382" t="str">
            <v>Order</v>
          </cell>
          <cell r="N382" t="str">
            <v>Russia</v>
          </cell>
          <cell r="O382" t="str">
            <v>Эталон</v>
          </cell>
          <cell r="P382" t="str">
            <v>6 weeks</v>
          </cell>
          <cell r="Q382"/>
          <cell r="R382"/>
        </row>
        <row r="383">
          <cell r="B383">
            <v>377</v>
          </cell>
          <cell r="C383">
            <v>1</v>
          </cell>
          <cell r="D383" t="str">
            <v>Car</v>
          </cell>
          <cell r="E383" t="str">
            <v>ОСП0006970</v>
          </cell>
          <cell r="F383">
            <v>46451519209</v>
          </cell>
          <cell r="G383"/>
          <cell r="H383" t="str">
            <v>Кабина лифта RRL1000W-SS-M-2SO1200R</v>
          </cell>
          <cell r="I383" t="str">
            <v>RRL1000W-SS-M-2SO1200R</v>
          </cell>
          <cell r="J383" t="str">
            <v>компл</v>
          </cell>
          <cell r="K383">
            <v>9</v>
          </cell>
          <cell r="L383"/>
          <cell r="M383" t="str">
            <v>Order</v>
          </cell>
          <cell r="N383" t="str">
            <v>Russia</v>
          </cell>
          <cell r="O383" t="str">
            <v>Эталон</v>
          </cell>
          <cell r="P383" t="str">
            <v>6 weeks</v>
          </cell>
          <cell r="Q383"/>
          <cell r="R383"/>
        </row>
        <row r="384">
          <cell r="B384">
            <v>378</v>
          </cell>
          <cell r="C384">
            <v>1</v>
          </cell>
          <cell r="D384" t="str">
            <v>Car</v>
          </cell>
          <cell r="E384" t="str">
            <v>ОСП0006963</v>
          </cell>
          <cell r="F384">
            <v>46451519101</v>
          </cell>
          <cell r="G384"/>
          <cell r="H384" t="str">
            <v>Кабина лифта RRL400-RAL7032-M-2CO700</v>
          </cell>
          <cell r="I384" t="str">
            <v>RRL400-RAL7032-M-2CO700</v>
          </cell>
          <cell r="J384" t="str">
            <v>компл</v>
          </cell>
          <cell r="K384">
            <v>9</v>
          </cell>
          <cell r="L384"/>
          <cell r="M384" t="str">
            <v>Order</v>
          </cell>
          <cell r="N384" t="str">
            <v>Russia</v>
          </cell>
          <cell r="O384" t="str">
            <v>Эталон</v>
          </cell>
          <cell r="P384" t="str">
            <v>6 weeks</v>
          </cell>
          <cell r="Q384"/>
          <cell r="R384"/>
        </row>
        <row r="385">
          <cell r="B385">
            <v>379</v>
          </cell>
          <cell r="C385">
            <v>1</v>
          </cell>
          <cell r="D385" t="str">
            <v>Car</v>
          </cell>
          <cell r="E385" t="str">
            <v>ОСП0006964</v>
          </cell>
          <cell r="F385">
            <v>46451519102</v>
          </cell>
          <cell r="G385"/>
          <cell r="H385" t="str">
            <v>Кабина лифта RRL400-SS-M-2CO700</v>
          </cell>
          <cell r="I385" t="str">
            <v>RRL400-SS-M-2CO700</v>
          </cell>
          <cell r="J385" t="str">
            <v>компл</v>
          </cell>
          <cell r="K385">
            <v>9</v>
          </cell>
          <cell r="L385"/>
          <cell r="M385" t="str">
            <v>Order</v>
          </cell>
          <cell r="N385" t="str">
            <v>Russia</v>
          </cell>
          <cell r="O385" t="str">
            <v>Эталон</v>
          </cell>
          <cell r="P385" t="str">
            <v>6 weeks</v>
          </cell>
          <cell r="Q385"/>
          <cell r="R385"/>
        </row>
        <row r="386">
          <cell r="B386">
            <v>380</v>
          </cell>
          <cell r="C386">
            <v>1</v>
          </cell>
          <cell r="D386" t="str">
            <v>Car</v>
          </cell>
          <cell r="E386" t="str">
            <v>ОСП0010402</v>
          </cell>
          <cell r="F386">
            <v>46451519263</v>
          </cell>
          <cell r="G386"/>
          <cell r="H386" t="str">
            <v>Кабина лифта RRL400-SS-M-2CO700 (кам. пол)</v>
          </cell>
          <cell r="I386" t="str">
            <v>AY TKE Car RRL 400, SS (stone floor)</v>
          </cell>
          <cell r="J386" t="str">
            <v>компл</v>
          </cell>
          <cell r="K386">
            <v>9</v>
          </cell>
          <cell r="L386"/>
          <cell r="M386" t="str">
            <v>Order</v>
          </cell>
          <cell r="N386" t="str">
            <v>Russia</v>
          </cell>
          <cell r="O386" t="str">
            <v>Эталон</v>
          </cell>
          <cell r="P386" t="str">
            <v>6 weeks</v>
          </cell>
          <cell r="Q386"/>
          <cell r="R386"/>
        </row>
        <row r="387">
          <cell r="B387">
            <v>381</v>
          </cell>
          <cell r="C387">
            <v>1</v>
          </cell>
          <cell r="D387" t="str">
            <v>Car</v>
          </cell>
          <cell r="E387" t="str">
            <v>ОСП0010401</v>
          </cell>
          <cell r="F387">
            <v>46451519265</v>
          </cell>
          <cell r="G387"/>
          <cell r="H387" t="str">
            <v>Кабина лифта RRL1000W-FF-SS-M-2SO1200L (кам. пол)</v>
          </cell>
          <cell r="I387" t="str">
            <v>AY  Car RRL1000W-FF-SS-M-2SO1200L (stone floor)</v>
          </cell>
          <cell r="J387" t="str">
            <v>компл</v>
          </cell>
          <cell r="K387">
            <v>9</v>
          </cell>
          <cell r="L387"/>
          <cell r="M387" t="str">
            <v>Order</v>
          </cell>
          <cell r="N387" t="str">
            <v>Russia</v>
          </cell>
          <cell r="O387" t="str">
            <v>Эталон</v>
          </cell>
          <cell r="P387" t="str">
            <v>6 weeks</v>
          </cell>
          <cell r="Q387"/>
          <cell r="R387"/>
        </row>
        <row r="388">
          <cell r="B388">
            <v>382</v>
          </cell>
          <cell r="C388">
            <v>1</v>
          </cell>
          <cell r="D388" t="str">
            <v>Car</v>
          </cell>
          <cell r="E388" t="str">
            <v>ОСП0010400</v>
          </cell>
          <cell r="F388">
            <v>46451519264</v>
          </cell>
          <cell r="G388"/>
          <cell r="H388" t="str">
            <v>Кабина лифта RRL1000W-FF-SS-M-2SO1200R (кам. пол)</v>
          </cell>
          <cell r="I388" t="str">
            <v>AY  Car RRL1000W-FF-SS-M-2SO1200R (stone floor)</v>
          </cell>
          <cell r="J388" t="str">
            <v>компл</v>
          </cell>
          <cell r="K388">
            <v>9</v>
          </cell>
          <cell r="L388"/>
          <cell r="M388" t="str">
            <v>Order</v>
          </cell>
          <cell r="N388" t="str">
            <v>Russia</v>
          </cell>
          <cell r="O388" t="str">
            <v>Эталон</v>
          </cell>
          <cell r="P388" t="str">
            <v>6 weeks</v>
          </cell>
          <cell r="Q388"/>
          <cell r="R388"/>
        </row>
        <row r="389">
          <cell r="B389">
            <v>383</v>
          </cell>
          <cell r="C389">
            <v>1</v>
          </cell>
          <cell r="D389" t="str">
            <v>Car</v>
          </cell>
          <cell r="E389" t="str">
            <v>ОСП0010381</v>
          </cell>
          <cell r="F389">
            <v>46451519259</v>
          </cell>
          <cell r="G389"/>
          <cell r="H389" t="str">
            <v>Кабина лифта RRL1000W-RAL7032-M-2SO1200R (кам. пол)</v>
          </cell>
          <cell r="I389" t="str">
            <v>AY Car RRL1000W-RAL7032-M-2SO1200R (stone floor)</v>
          </cell>
          <cell r="J389" t="str">
            <v>компл</v>
          </cell>
          <cell r="K389">
            <v>9</v>
          </cell>
          <cell r="L389"/>
          <cell r="M389" t="str">
            <v>Order</v>
          </cell>
          <cell r="N389" t="str">
            <v>Russia</v>
          </cell>
          <cell r="O389" t="str">
            <v>Эталон</v>
          </cell>
          <cell r="P389" t="str">
            <v>6 weeks</v>
          </cell>
          <cell r="Q389"/>
          <cell r="R389"/>
        </row>
        <row r="390">
          <cell r="B390">
            <v>384</v>
          </cell>
          <cell r="C390">
            <v>1</v>
          </cell>
          <cell r="D390" t="str">
            <v>Car</v>
          </cell>
          <cell r="E390" t="str">
            <v>ОСП0009716</v>
          </cell>
          <cell r="F390">
            <v>46451519253</v>
          </cell>
          <cell r="G390"/>
          <cell r="H390" t="str">
            <v>Кабина лифта  RRL630-RAL7032-M-2SO900L( кам.пол)</v>
          </cell>
          <cell r="I390" t="str">
            <v>RRL630-RAL7032-M-2SO900L (stone floor)</v>
          </cell>
          <cell r="J390" t="str">
            <v>компл</v>
          </cell>
          <cell r="K390">
            <v>9</v>
          </cell>
          <cell r="L390"/>
          <cell r="M390" t="str">
            <v>Order</v>
          </cell>
          <cell r="N390" t="str">
            <v>Russia</v>
          </cell>
          <cell r="O390" t="str">
            <v>Эталон</v>
          </cell>
          <cell r="P390" t="str">
            <v>6 weeks</v>
          </cell>
          <cell r="Q390"/>
          <cell r="R390"/>
        </row>
        <row r="391">
          <cell r="B391">
            <v>385</v>
          </cell>
          <cell r="C391">
            <v>1</v>
          </cell>
          <cell r="D391" t="str">
            <v>Car</v>
          </cell>
          <cell r="E391" t="str">
            <v>ОСП0009719</v>
          </cell>
          <cell r="F391">
            <v>46451519255</v>
          </cell>
          <cell r="G391"/>
          <cell r="H391" t="str">
            <v>Кабина лифта  RRL630-RAL7032-M-2SO900R( кам.пол)</v>
          </cell>
          <cell r="I391" t="str">
            <v>RRL630-RAL7032-M-2SO900R (stone floor)</v>
          </cell>
          <cell r="J391" t="str">
            <v>компл</v>
          </cell>
          <cell r="K391">
            <v>9</v>
          </cell>
          <cell r="L391"/>
          <cell r="M391" t="str">
            <v>Order</v>
          </cell>
          <cell r="N391" t="str">
            <v>Russia</v>
          </cell>
          <cell r="O391" t="str">
            <v>Эталон</v>
          </cell>
          <cell r="P391" t="str">
            <v>6 weeks</v>
          </cell>
          <cell r="Q391"/>
          <cell r="R391"/>
        </row>
        <row r="392">
          <cell r="B392">
            <v>386</v>
          </cell>
          <cell r="C392">
            <v>1</v>
          </cell>
          <cell r="D392" t="str">
            <v>Car</v>
          </cell>
          <cell r="E392" t="str">
            <v>ОСП0009714</v>
          </cell>
          <cell r="F392">
            <v>46451519252</v>
          </cell>
          <cell r="G392"/>
          <cell r="H392" t="str">
            <v>Кабина лифта RRL1000D-FF -RAL7032-M-2SO900L (кам. пол)</v>
          </cell>
          <cell r="I392" t="str">
            <v>RRL1000D-FF -RAL7032-M-2SO900L( stone floor)</v>
          </cell>
          <cell r="J392" t="str">
            <v>компл</v>
          </cell>
          <cell r="K392">
            <v>9</v>
          </cell>
          <cell r="L392"/>
          <cell r="M392" t="str">
            <v>Order</v>
          </cell>
          <cell r="N392" t="str">
            <v>Russia</v>
          </cell>
          <cell r="O392" t="str">
            <v>Эталон</v>
          </cell>
          <cell r="P392" t="str">
            <v>6 weeks</v>
          </cell>
          <cell r="Q392"/>
          <cell r="R392"/>
        </row>
        <row r="393">
          <cell r="B393">
            <v>387</v>
          </cell>
          <cell r="C393">
            <v>1</v>
          </cell>
          <cell r="D393" t="str">
            <v>Car</v>
          </cell>
          <cell r="E393" t="str">
            <v>ОСП0009717</v>
          </cell>
          <cell r="F393">
            <v>46451519254</v>
          </cell>
          <cell r="G393"/>
          <cell r="H393" t="str">
            <v>Кабина лифта RRL1000D-FF -RAL7032-M-2SO900R (кам. пол)</v>
          </cell>
          <cell r="I393" t="str">
            <v>RRL1000D-FF -RAL7032-M-2SO900R( stone floor)</v>
          </cell>
          <cell r="J393" t="str">
            <v>компл</v>
          </cell>
          <cell r="K393">
            <v>9</v>
          </cell>
          <cell r="L393"/>
          <cell r="M393" t="str">
            <v>Order</v>
          </cell>
          <cell r="N393" t="str">
            <v>Russia</v>
          </cell>
          <cell r="O393" t="str">
            <v>Эталон</v>
          </cell>
          <cell r="P393" t="str">
            <v>6 weeks</v>
          </cell>
          <cell r="Q393"/>
          <cell r="R393"/>
        </row>
        <row r="394">
          <cell r="B394">
            <v>388</v>
          </cell>
          <cell r="C394">
            <v>1</v>
          </cell>
          <cell r="D394" t="str">
            <v>Car</v>
          </cell>
          <cell r="E394" t="str">
            <v>ОСП0009715</v>
          </cell>
          <cell r="F394">
            <v>46451519260</v>
          </cell>
          <cell r="G394"/>
          <cell r="H394" t="str">
            <v>Кабина лифта RRL1000D-RAL7032-M-2SO900L (кам. пол)</v>
          </cell>
          <cell r="I394" t="str">
            <v>RRL1000D-RAL7032-M-2SO900L ( stone floor)</v>
          </cell>
          <cell r="J394" t="str">
            <v>компл</v>
          </cell>
          <cell r="K394">
            <v>9</v>
          </cell>
          <cell r="L394"/>
          <cell r="M394" t="str">
            <v>Order</v>
          </cell>
          <cell r="N394" t="str">
            <v>Russia</v>
          </cell>
          <cell r="O394" t="str">
            <v>Эталон</v>
          </cell>
          <cell r="P394" t="str">
            <v>6 weeks</v>
          </cell>
          <cell r="Q394"/>
          <cell r="R394"/>
        </row>
        <row r="395">
          <cell r="B395">
            <v>389</v>
          </cell>
          <cell r="C395">
            <v>1</v>
          </cell>
          <cell r="D395" t="str">
            <v>Car</v>
          </cell>
          <cell r="E395" t="str">
            <v>ОСП0009718</v>
          </cell>
          <cell r="F395">
            <v>46451519261</v>
          </cell>
          <cell r="G395"/>
          <cell r="H395" t="str">
            <v>Кабина лифта RRL1000D-RAL7032-M-2SO900R (кам. пол)</v>
          </cell>
          <cell r="I395" t="str">
            <v>RRL1000D-RAL7032-M-2SO900R ( stone floor)</v>
          </cell>
          <cell r="J395" t="str">
            <v>компл</v>
          </cell>
          <cell r="K395">
            <v>9</v>
          </cell>
          <cell r="L395"/>
          <cell r="M395" t="str">
            <v>Order</v>
          </cell>
          <cell r="N395" t="str">
            <v>Russia</v>
          </cell>
          <cell r="O395" t="str">
            <v>Эталон</v>
          </cell>
          <cell r="P395" t="str">
            <v>6 weeks</v>
          </cell>
          <cell r="Q395"/>
          <cell r="R395"/>
        </row>
        <row r="396">
          <cell r="B396">
            <v>390</v>
          </cell>
          <cell r="C396">
            <v>1</v>
          </cell>
          <cell r="D396" t="str">
            <v>Car</v>
          </cell>
          <cell r="E396" t="str">
            <v>ОСП0009721</v>
          </cell>
          <cell r="F396">
            <v>46451519258</v>
          </cell>
          <cell r="G396"/>
          <cell r="H396" t="str">
            <v>Кабина лифта RRL1000W-FF-RAL7032-M-2SO1200L (кам. пол)</v>
          </cell>
          <cell r="I396" t="str">
            <v>AY  Car RRL1000W-FF-RAL7032-M-2SO1200L (stone floor)</v>
          </cell>
          <cell r="J396" t="str">
            <v>компл</v>
          </cell>
          <cell r="K396">
            <v>9</v>
          </cell>
          <cell r="L396"/>
          <cell r="M396" t="str">
            <v>Order</v>
          </cell>
          <cell r="N396" t="str">
            <v>Russia</v>
          </cell>
          <cell r="O396" t="str">
            <v>Эталон</v>
          </cell>
          <cell r="P396" t="str">
            <v>6 weeks</v>
          </cell>
          <cell r="Q396"/>
          <cell r="R396"/>
        </row>
        <row r="397">
          <cell r="B397">
            <v>391</v>
          </cell>
          <cell r="C397">
            <v>1</v>
          </cell>
          <cell r="D397" t="str">
            <v>Car</v>
          </cell>
          <cell r="E397" t="str">
            <v>ОСП0009720</v>
          </cell>
          <cell r="F397">
            <v>46451519256</v>
          </cell>
          <cell r="G397"/>
          <cell r="H397" t="str">
            <v>Кабина лифта RRL1000W-FF-RAL7032-M-2SO1200R (кам. пол)</v>
          </cell>
          <cell r="I397" t="str">
            <v>AY  Car RRL1000W-FF-RAL7032-M-2SO1200R (stone floor)</v>
          </cell>
          <cell r="J397" t="str">
            <v>компл</v>
          </cell>
          <cell r="K397">
            <v>9</v>
          </cell>
          <cell r="L397"/>
          <cell r="M397" t="str">
            <v>Order</v>
          </cell>
          <cell r="N397" t="str">
            <v>Russia</v>
          </cell>
          <cell r="O397" t="str">
            <v>Эталон</v>
          </cell>
          <cell r="P397" t="str">
            <v>6 weeks</v>
          </cell>
          <cell r="Q397"/>
          <cell r="R397"/>
        </row>
        <row r="398">
          <cell r="B398">
            <v>392</v>
          </cell>
          <cell r="C398">
            <v>1</v>
          </cell>
          <cell r="D398" t="str">
            <v>Car</v>
          </cell>
          <cell r="E398" t="str">
            <v>ОСП0008704</v>
          </cell>
          <cell r="F398">
            <v>46451519248</v>
          </cell>
          <cell r="G398"/>
          <cell r="H398" t="str">
            <v>Потолок кабины SC-M-AddOn-RRL1000D</v>
          </cell>
          <cell r="I398" t="str">
            <v>SC-M-AddOn-RRL1000D</v>
          </cell>
          <cell r="J398" t="str">
            <v>компл</v>
          </cell>
          <cell r="K398">
            <v>9</v>
          </cell>
          <cell r="L398"/>
          <cell r="M398" t="str">
            <v>Order</v>
          </cell>
          <cell r="N398" t="str">
            <v>Russia</v>
          </cell>
          <cell r="O398" t="str">
            <v>Эталон</v>
          </cell>
          <cell r="P398" t="str">
            <v>6 weeks</v>
          </cell>
          <cell r="Q398"/>
          <cell r="R398"/>
        </row>
        <row r="399">
          <cell r="B399">
            <v>393</v>
          </cell>
          <cell r="C399">
            <v>1</v>
          </cell>
          <cell r="D399" t="str">
            <v>Car</v>
          </cell>
          <cell r="E399" t="str">
            <v>ОСП0008706</v>
          </cell>
          <cell r="F399">
            <v>46451519250</v>
          </cell>
          <cell r="G399"/>
          <cell r="H399" t="str">
            <v>Потолок кабины SC-M-AddOn-RRL1000D-FF</v>
          </cell>
          <cell r="I399" t="str">
            <v>SC-M-AddOn-RRL1000D-FF</v>
          </cell>
          <cell r="J399" t="str">
            <v>компл</v>
          </cell>
          <cell r="K399">
            <v>9</v>
          </cell>
          <cell r="L399"/>
          <cell r="M399" t="str">
            <v>Order</v>
          </cell>
          <cell r="N399" t="str">
            <v>Russia</v>
          </cell>
          <cell r="O399" t="str">
            <v>Эталон</v>
          </cell>
          <cell r="P399" t="str">
            <v>6 weeks</v>
          </cell>
          <cell r="Q399"/>
          <cell r="R399"/>
        </row>
        <row r="400">
          <cell r="B400">
            <v>394</v>
          </cell>
          <cell r="C400">
            <v>1</v>
          </cell>
          <cell r="D400" t="str">
            <v>Car</v>
          </cell>
          <cell r="E400" t="str">
            <v>ОСП0008705</v>
          </cell>
          <cell r="F400">
            <v>46451519249</v>
          </cell>
          <cell r="G400"/>
          <cell r="H400" t="str">
            <v>Потолок кабины SC-M-AddOn-RRL1000W</v>
          </cell>
          <cell r="I400" t="str">
            <v>SC-M-AddOn-RRL1000W</v>
          </cell>
          <cell r="J400" t="str">
            <v>компл</v>
          </cell>
          <cell r="K400">
            <v>9</v>
          </cell>
          <cell r="L400"/>
          <cell r="M400" t="str">
            <v>Order</v>
          </cell>
          <cell r="N400" t="str">
            <v>Russia</v>
          </cell>
          <cell r="O400" t="str">
            <v>Эталон</v>
          </cell>
          <cell r="P400" t="str">
            <v>6 weeks</v>
          </cell>
          <cell r="Q400"/>
          <cell r="R400"/>
        </row>
        <row r="401">
          <cell r="B401">
            <v>395</v>
          </cell>
          <cell r="C401">
            <v>1</v>
          </cell>
          <cell r="D401" t="str">
            <v>Car</v>
          </cell>
          <cell r="E401" t="str">
            <v>ОСП0008707</v>
          </cell>
          <cell r="F401">
            <v>46451519251</v>
          </cell>
          <cell r="G401"/>
          <cell r="H401" t="str">
            <v>Потолок кабины SC-M-AddOn-RRL1000W-FF</v>
          </cell>
          <cell r="I401" t="str">
            <v>SC-M-AddOn-RRL1000W-FF</v>
          </cell>
          <cell r="J401" t="str">
            <v>компл</v>
          </cell>
          <cell r="K401">
            <v>9</v>
          </cell>
          <cell r="L401"/>
          <cell r="M401" t="str">
            <v>Order</v>
          </cell>
          <cell r="N401" t="str">
            <v>Russia</v>
          </cell>
          <cell r="O401" t="str">
            <v>Эталон</v>
          </cell>
          <cell r="P401" t="str">
            <v>6 weeks</v>
          </cell>
          <cell r="Q401"/>
          <cell r="R401"/>
        </row>
        <row r="402">
          <cell r="B402">
            <v>396</v>
          </cell>
          <cell r="C402">
            <v>1</v>
          </cell>
          <cell r="D402" t="str">
            <v>Car</v>
          </cell>
          <cell r="E402" t="str">
            <v>ОСП0008702</v>
          </cell>
          <cell r="F402">
            <v>46451519246</v>
          </cell>
          <cell r="G402"/>
          <cell r="H402" t="str">
            <v>Потолок кабины SC-M-AddOn-RRL400</v>
          </cell>
          <cell r="I402" t="str">
            <v>SC-M-AddOn-RRL400</v>
          </cell>
          <cell r="J402" t="str">
            <v>компл</v>
          </cell>
          <cell r="K402">
            <v>9</v>
          </cell>
          <cell r="L402"/>
          <cell r="M402" t="str">
            <v>Order</v>
          </cell>
          <cell r="N402" t="str">
            <v>Russia</v>
          </cell>
          <cell r="O402" t="str">
            <v>Эталон</v>
          </cell>
          <cell r="P402" t="str">
            <v>6 weeks</v>
          </cell>
          <cell r="Q402"/>
          <cell r="R402"/>
        </row>
        <row r="403">
          <cell r="B403">
            <v>397</v>
          </cell>
          <cell r="C403">
            <v>1</v>
          </cell>
          <cell r="D403" t="str">
            <v>Car</v>
          </cell>
          <cell r="E403" t="str">
            <v>ОСП0008703</v>
          </cell>
          <cell r="F403">
            <v>46451519247</v>
          </cell>
          <cell r="G403"/>
          <cell r="H403" t="str">
            <v>Потолок кабины SC-M-AddOn-RRL630</v>
          </cell>
          <cell r="I403" t="str">
            <v>SC-M-AddOn-RRL630</v>
          </cell>
          <cell r="J403" t="str">
            <v>компл</v>
          </cell>
          <cell r="K403">
            <v>9</v>
          </cell>
          <cell r="L403"/>
          <cell r="M403" t="str">
            <v>Order</v>
          </cell>
          <cell r="N403" t="str">
            <v>Russia</v>
          </cell>
          <cell r="O403" t="str">
            <v>Эталон</v>
          </cell>
          <cell r="P403" t="str">
            <v>6 weeks</v>
          </cell>
          <cell r="Q403"/>
          <cell r="R403"/>
        </row>
        <row r="404">
          <cell r="B404">
            <v>398</v>
          </cell>
          <cell r="C404">
            <v>1</v>
          </cell>
          <cell r="D404" t="str">
            <v>Car</v>
          </cell>
          <cell r="E404" t="str">
            <v>ОСП0010176</v>
          </cell>
          <cell r="F404">
            <v>46451519420</v>
          </cell>
          <cell r="G404"/>
          <cell r="H404" t="str">
            <v>Покрытие пола 1099 x 2099 Primo Plus 93305 (вкл. клей)</v>
          </cell>
          <cell r="I404" t="str">
            <v>Flooring 1099 x 2099 Primo Plus 93305 (incl. glue)</v>
          </cell>
          <cell r="J404" t="str">
            <v>шт</v>
          </cell>
          <cell r="K404">
            <v>9</v>
          </cell>
          <cell r="L404"/>
          <cell r="M404" t="str">
            <v>Order</v>
          </cell>
          <cell r="N404" t="str">
            <v>Russia</v>
          </cell>
          <cell r="O404" t="str">
            <v>ТриЭн</v>
          </cell>
          <cell r="P404" t="str">
            <v>4 weeks</v>
          </cell>
          <cell r="Q404"/>
          <cell r="R404"/>
        </row>
        <row r="405">
          <cell r="B405">
            <v>399</v>
          </cell>
          <cell r="C405">
            <v>1</v>
          </cell>
          <cell r="D405" t="str">
            <v>Car</v>
          </cell>
          <cell r="E405" t="str">
            <v>ОСП0010177</v>
          </cell>
          <cell r="F405">
            <v>46451519421</v>
          </cell>
          <cell r="G405"/>
          <cell r="H405" t="str">
            <v>Покрытие пола 1099 x 2099 Primo Plus 93310 (вкл. клей)</v>
          </cell>
          <cell r="I405" t="str">
            <v>Flooring 1099 x 2099 Primo Plus 93310 (incl. glue)</v>
          </cell>
          <cell r="J405" t="str">
            <v>шт</v>
          </cell>
          <cell r="K405">
            <v>9</v>
          </cell>
          <cell r="L405"/>
          <cell r="M405" t="str">
            <v>Order</v>
          </cell>
          <cell r="N405" t="str">
            <v>Russia</v>
          </cell>
          <cell r="O405" t="str">
            <v>ТриЭн</v>
          </cell>
          <cell r="P405" t="str">
            <v>4 weeks</v>
          </cell>
          <cell r="Q405"/>
          <cell r="R405"/>
        </row>
        <row r="406">
          <cell r="B406">
            <v>400</v>
          </cell>
          <cell r="C406">
            <v>1</v>
          </cell>
          <cell r="D406" t="str">
            <v>Car</v>
          </cell>
          <cell r="E406" t="str">
            <v>ОСП0010178</v>
          </cell>
          <cell r="F406">
            <v>46451519422</v>
          </cell>
          <cell r="G406"/>
          <cell r="H406" t="str">
            <v>Покрытие пола 1099 x 2099 Primo Plus 93304 (вкл. клей)</v>
          </cell>
          <cell r="I406" t="str">
            <v>Flooring 1099 x 2099 Primo Plus 93304 (incl. glue)</v>
          </cell>
          <cell r="J406" t="str">
            <v>шт</v>
          </cell>
          <cell r="K406">
            <v>9</v>
          </cell>
          <cell r="L406"/>
          <cell r="M406" t="str">
            <v>Order</v>
          </cell>
          <cell r="N406" t="str">
            <v>Russia</v>
          </cell>
          <cell r="O406" t="str">
            <v>ТриЭн</v>
          </cell>
          <cell r="P406" t="str">
            <v>4 weeks</v>
          </cell>
          <cell r="Q406"/>
          <cell r="R406"/>
        </row>
        <row r="407">
          <cell r="B407">
            <v>401</v>
          </cell>
          <cell r="C407">
            <v>1</v>
          </cell>
          <cell r="D407" t="str">
            <v>Car</v>
          </cell>
          <cell r="E407" t="str">
            <v>ОСП0010179</v>
          </cell>
          <cell r="F407">
            <v>46451519423</v>
          </cell>
          <cell r="G407"/>
          <cell r="H407" t="str">
            <v>Покрытие пола 1099 x 2099 Primo Plus 93315 (вкл. клей)</v>
          </cell>
          <cell r="I407" t="str">
            <v>Flooring 1099 x 2099 Primo Plus 93315 (incl. glue)</v>
          </cell>
          <cell r="J407" t="str">
            <v>шт</v>
          </cell>
          <cell r="K407">
            <v>9</v>
          </cell>
          <cell r="L407"/>
          <cell r="M407" t="str">
            <v>Order</v>
          </cell>
          <cell r="N407" t="str">
            <v>Russia</v>
          </cell>
          <cell r="O407" t="str">
            <v>ТриЭн</v>
          </cell>
          <cell r="P407" t="str">
            <v>4 weeks</v>
          </cell>
          <cell r="Q407"/>
          <cell r="R407"/>
        </row>
        <row r="408">
          <cell r="B408">
            <v>402</v>
          </cell>
          <cell r="C408">
            <v>1</v>
          </cell>
          <cell r="D408" t="str">
            <v>Car</v>
          </cell>
          <cell r="E408" t="str">
            <v>ОСП0010180</v>
          </cell>
          <cell r="F408">
            <v>46451519424</v>
          </cell>
          <cell r="G408"/>
          <cell r="H408" t="str">
            <v>Покрытие пола 1099 x 2099 BE 514 (вкл. клей)</v>
          </cell>
          <cell r="I408" t="str">
            <v>Flooring 1099 x 2099 BE 514 (incl. glue)</v>
          </cell>
          <cell r="J408" t="str">
            <v>шт</v>
          </cell>
          <cell r="K408">
            <v>9</v>
          </cell>
          <cell r="L408"/>
          <cell r="M408" t="str">
            <v>Order</v>
          </cell>
          <cell r="N408" t="str">
            <v>Russia</v>
          </cell>
          <cell r="O408" t="str">
            <v>ТриЭн</v>
          </cell>
          <cell r="P408" t="str">
            <v>4 weeks</v>
          </cell>
          <cell r="Q408"/>
          <cell r="R408"/>
        </row>
        <row r="409">
          <cell r="B409">
            <v>403</v>
          </cell>
          <cell r="C409">
            <v>1</v>
          </cell>
          <cell r="D409" t="str">
            <v>Car</v>
          </cell>
          <cell r="E409" t="str">
            <v>ОСП0010181</v>
          </cell>
          <cell r="F409">
            <v>46451519425</v>
          </cell>
          <cell r="G409"/>
          <cell r="H409" t="str">
            <v>Покрытие пола 1099 х 2099 BE 512 (вкл. клей)</v>
          </cell>
          <cell r="I409" t="str">
            <v>Flooring 1099 х 2099 BE 512 (incl. glue)</v>
          </cell>
          <cell r="J409" t="str">
            <v>шт</v>
          </cell>
          <cell r="K409">
            <v>9</v>
          </cell>
          <cell r="L409"/>
          <cell r="M409" t="str">
            <v>Order</v>
          </cell>
          <cell r="N409" t="str">
            <v>Russia</v>
          </cell>
          <cell r="O409" t="str">
            <v>ТриЭн</v>
          </cell>
          <cell r="P409" t="str">
            <v>4 weeks</v>
          </cell>
          <cell r="Q409"/>
          <cell r="R409"/>
        </row>
        <row r="410">
          <cell r="B410">
            <v>404</v>
          </cell>
          <cell r="C410">
            <v>1</v>
          </cell>
          <cell r="D410" t="str">
            <v>Car</v>
          </cell>
          <cell r="E410" t="str">
            <v>ОСП0010182</v>
          </cell>
          <cell r="F410">
            <v>46451519426</v>
          </cell>
          <cell r="G410"/>
          <cell r="H410" t="str">
            <v>Покрытие пола 1099 x 2099 Acczent mineral 100003 (вкл. клей)</v>
          </cell>
          <cell r="I410" t="str">
            <v>Flooring 1099 x 2099 Acczent mineral 100003 (incl. glue)</v>
          </cell>
          <cell r="J410" t="str">
            <v>шт</v>
          </cell>
          <cell r="K410">
            <v>9</v>
          </cell>
          <cell r="L410"/>
          <cell r="M410" t="str">
            <v>Order</v>
          </cell>
          <cell r="N410" t="str">
            <v>Russia</v>
          </cell>
          <cell r="O410" t="str">
            <v>ТриЭн</v>
          </cell>
          <cell r="P410" t="str">
            <v>4 weeks</v>
          </cell>
          <cell r="Q410"/>
          <cell r="R410"/>
        </row>
        <row r="411">
          <cell r="B411">
            <v>405</v>
          </cell>
          <cell r="C411">
            <v>1</v>
          </cell>
          <cell r="D411" t="str">
            <v>Car</v>
          </cell>
          <cell r="E411" t="str">
            <v>ОСП0010183</v>
          </cell>
          <cell r="F411">
            <v>46451519410</v>
          </cell>
          <cell r="G411"/>
          <cell r="H411" t="str">
            <v>Покрытие пола 1099 х 999 Primo Plus 93305 (вкл. клей)</v>
          </cell>
          <cell r="I411" t="str">
            <v>Flooring 1099 х 999 Primo Plus 93305 (incl. glue)</v>
          </cell>
          <cell r="J411" t="str">
            <v>шт</v>
          </cell>
          <cell r="K411">
            <v>9</v>
          </cell>
          <cell r="L411"/>
          <cell r="M411" t="str">
            <v>Order</v>
          </cell>
          <cell r="N411" t="str">
            <v>Russia</v>
          </cell>
          <cell r="O411" t="str">
            <v>ТриЭн</v>
          </cell>
          <cell r="P411" t="str">
            <v>4 weeks</v>
          </cell>
          <cell r="Q411"/>
          <cell r="R411"/>
        </row>
        <row r="412">
          <cell r="B412">
            <v>406</v>
          </cell>
          <cell r="C412">
            <v>1</v>
          </cell>
          <cell r="D412" t="str">
            <v>Car</v>
          </cell>
          <cell r="E412" t="str">
            <v>ОСП0010184</v>
          </cell>
          <cell r="F412">
            <v>46451519411</v>
          </cell>
          <cell r="G412"/>
          <cell r="H412" t="str">
            <v>Покрытие пола 1099 х 999 Primo Plus 93310 (вкл. клей)</v>
          </cell>
          <cell r="I412" t="str">
            <v>Flooring 1099 х 999 Primo Plus 93310 (incl. glue)</v>
          </cell>
          <cell r="J412" t="str">
            <v>шт</v>
          </cell>
          <cell r="K412">
            <v>9</v>
          </cell>
          <cell r="L412"/>
          <cell r="M412" t="str">
            <v>Order</v>
          </cell>
          <cell r="N412" t="str">
            <v>Russia</v>
          </cell>
          <cell r="O412" t="str">
            <v>ТриЭн</v>
          </cell>
          <cell r="P412" t="str">
            <v>4 weeks</v>
          </cell>
          <cell r="Q412"/>
          <cell r="R412"/>
        </row>
        <row r="413">
          <cell r="B413">
            <v>407</v>
          </cell>
          <cell r="C413">
            <v>1</v>
          </cell>
          <cell r="D413" t="str">
            <v>Car</v>
          </cell>
          <cell r="E413" t="str">
            <v>ОСП0010185</v>
          </cell>
          <cell r="F413">
            <v>46451519412</v>
          </cell>
          <cell r="G413"/>
          <cell r="H413" t="str">
            <v>Покрытие пола 1099 х 999 Primo Plus 93304 (вкл. клей)</v>
          </cell>
          <cell r="I413" t="str">
            <v>Flooring 1099 х 999 Primo Plus 93304 (incl. glue)</v>
          </cell>
          <cell r="J413" t="str">
            <v>шт</v>
          </cell>
          <cell r="K413">
            <v>9</v>
          </cell>
          <cell r="L413"/>
          <cell r="M413" t="str">
            <v>Order</v>
          </cell>
          <cell r="N413" t="str">
            <v>Russia</v>
          </cell>
          <cell r="O413" t="str">
            <v>ТриЭн</v>
          </cell>
          <cell r="P413" t="str">
            <v>4 weeks</v>
          </cell>
          <cell r="Q413"/>
          <cell r="R413"/>
        </row>
        <row r="414">
          <cell r="B414">
            <v>408</v>
          </cell>
          <cell r="C414">
            <v>1</v>
          </cell>
          <cell r="D414" t="str">
            <v>Car</v>
          </cell>
          <cell r="E414" t="str">
            <v>ОСП0010186</v>
          </cell>
          <cell r="F414">
            <v>46451519413</v>
          </cell>
          <cell r="G414"/>
          <cell r="H414" t="str">
            <v>Покрытие пола 1099 х 999 Primo Plus 93315 (вкл. клей)</v>
          </cell>
          <cell r="I414" t="str">
            <v>Flooring 1099 х 999 Primo Plus 93315 (incl. glue)</v>
          </cell>
          <cell r="J414" t="str">
            <v>шт</v>
          </cell>
          <cell r="K414">
            <v>9</v>
          </cell>
          <cell r="L414"/>
          <cell r="M414" t="str">
            <v>Order</v>
          </cell>
          <cell r="N414" t="str">
            <v>Russia</v>
          </cell>
          <cell r="O414" t="str">
            <v>ТриЭн</v>
          </cell>
          <cell r="P414" t="str">
            <v>4 weeks</v>
          </cell>
          <cell r="Q414"/>
          <cell r="R414"/>
        </row>
        <row r="415">
          <cell r="B415">
            <v>409</v>
          </cell>
          <cell r="C415">
            <v>1</v>
          </cell>
          <cell r="D415" t="str">
            <v>Car</v>
          </cell>
          <cell r="E415" t="str">
            <v>ОСП0010187</v>
          </cell>
          <cell r="F415">
            <v>46451519414</v>
          </cell>
          <cell r="G415"/>
          <cell r="H415" t="str">
            <v>Покрытие пола 1099 х 999 BE 514 (вкл. клей)</v>
          </cell>
          <cell r="I415" t="str">
            <v>Flooring 1099 х 999 BE 514 (incl. glue)</v>
          </cell>
          <cell r="J415" t="str">
            <v>шт</v>
          </cell>
          <cell r="K415">
            <v>9</v>
          </cell>
          <cell r="L415"/>
          <cell r="M415" t="str">
            <v>Order</v>
          </cell>
          <cell r="N415" t="str">
            <v>Russia</v>
          </cell>
          <cell r="O415" t="str">
            <v>ТриЭн</v>
          </cell>
          <cell r="P415" t="str">
            <v>4 weeks</v>
          </cell>
          <cell r="Q415"/>
          <cell r="R415"/>
        </row>
        <row r="416">
          <cell r="B416">
            <v>410</v>
          </cell>
          <cell r="C416">
            <v>1</v>
          </cell>
          <cell r="D416" t="str">
            <v>Car</v>
          </cell>
          <cell r="E416" t="str">
            <v>ОСП0010188</v>
          </cell>
          <cell r="F416">
            <v>46451519415</v>
          </cell>
          <cell r="G416"/>
          <cell r="H416" t="str">
            <v>Покрытие пола 1099 х 999 BE 512 (вкл. клей)</v>
          </cell>
          <cell r="I416" t="str">
            <v>Flooring 1099 х 999 BE 512 (incl. glue)</v>
          </cell>
          <cell r="J416" t="str">
            <v>шт</v>
          </cell>
          <cell r="K416">
            <v>9</v>
          </cell>
          <cell r="L416"/>
          <cell r="M416" t="str">
            <v>Order</v>
          </cell>
          <cell r="N416" t="str">
            <v>Russia</v>
          </cell>
          <cell r="O416" t="str">
            <v>ТриЭн</v>
          </cell>
          <cell r="P416" t="str">
            <v>4 weeks</v>
          </cell>
          <cell r="Q416"/>
          <cell r="R416"/>
        </row>
        <row r="417">
          <cell r="B417">
            <v>411</v>
          </cell>
          <cell r="C417">
            <v>1</v>
          </cell>
          <cell r="D417" t="str">
            <v>Car</v>
          </cell>
          <cell r="E417" t="str">
            <v>ОСП0010189</v>
          </cell>
          <cell r="F417">
            <v>46451519416</v>
          </cell>
          <cell r="G417"/>
          <cell r="H417" t="str">
            <v>Покрытие пола 1099 х 999 Acczent mineral 100003 (вкл. клей)</v>
          </cell>
          <cell r="I417" t="str">
            <v>Flooring 1099 х 999 Acczent mineral 100003 (incl. glue)</v>
          </cell>
          <cell r="J417" t="str">
            <v>шт</v>
          </cell>
          <cell r="K417">
            <v>9</v>
          </cell>
          <cell r="L417"/>
          <cell r="M417" t="str">
            <v>Order</v>
          </cell>
          <cell r="N417" t="str">
            <v>Russia</v>
          </cell>
          <cell r="O417" t="str">
            <v>ТриЭн</v>
          </cell>
          <cell r="P417" t="str">
            <v>4 weeks</v>
          </cell>
          <cell r="Q417"/>
          <cell r="R417"/>
        </row>
        <row r="418">
          <cell r="B418">
            <v>412</v>
          </cell>
          <cell r="C418">
            <v>1</v>
          </cell>
          <cell r="D418" t="str">
            <v>Car</v>
          </cell>
          <cell r="E418" t="str">
            <v>ОСП0010766</v>
          </cell>
          <cell r="F418">
            <v>46451519510</v>
          </cell>
          <cell r="G418" t="str">
            <v>61670267_00</v>
          </cell>
          <cell r="H418" t="str">
            <v>Плинтус кабины RRL400-M, RAL</v>
          </cell>
          <cell r="I418" t="str">
            <v>Skirt guard for car RRL400-M, RAL</v>
          </cell>
          <cell r="J418" t="str">
            <v>шт</v>
          </cell>
          <cell r="K418">
            <v>9</v>
          </cell>
          <cell r="L418"/>
          <cell r="M418" t="str">
            <v>Order</v>
          </cell>
          <cell r="N418" t="str">
            <v>Russia</v>
          </cell>
          <cell r="O418" t="str">
            <v>Эталон</v>
          </cell>
          <cell r="P418" t="str">
            <v>4 weeks</v>
          </cell>
          <cell r="Q418"/>
          <cell r="R418"/>
        </row>
        <row r="419">
          <cell r="B419">
            <v>413</v>
          </cell>
          <cell r="C419">
            <v>1</v>
          </cell>
          <cell r="D419" t="str">
            <v>Car</v>
          </cell>
          <cell r="E419" t="str">
            <v>ОСП0010767</v>
          </cell>
          <cell r="F419">
            <v>46451519520</v>
          </cell>
          <cell r="G419" t="str">
            <v>61670290_00</v>
          </cell>
          <cell r="H419" t="str">
            <v>Плинтус кабины RRL630-M, RAL</v>
          </cell>
          <cell r="I419" t="str">
            <v>Skirt guard for car RRL630-M, RAL</v>
          </cell>
          <cell r="J419" t="str">
            <v>шт</v>
          </cell>
          <cell r="K419">
            <v>9</v>
          </cell>
          <cell r="L419"/>
          <cell r="M419" t="str">
            <v>Order</v>
          </cell>
          <cell r="N419" t="str">
            <v>Russia</v>
          </cell>
          <cell r="O419" t="str">
            <v>Эталон</v>
          </cell>
          <cell r="P419" t="str">
            <v>4 weeks</v>
          </cell>
          <cell r="Q419"/>
          <cell r="R419"/>
        </row>
        <row r="420">
          <cell r="B420">
            <v>414</v>
          </cell>
          <cell r="C420">
            <v>1</v>
          </cell>
          <cell r="D420" t="str">
            <v>Car</v>
          </cell>
          <cell r="E420" t="str">
            <v>ОСП0010768</v>
          </cell>
          <cell r="F420">
            <v>46451519530</v>
          </cell>
          <cell r="G420" t="str">
            <v>61670174_00</v>
          </cell>
          <cell r="H420" t="str">
            <v>Плинтус кабины RRL1000D-M, RAL</v>
          </cell>
          <cell r="I420" t="str">
            <v>Skirt guard for car RRL1000D-M, RAL</v>
          </cell>
          <cell r="J420" t="str">
            <v>шт</v>
          </cell>
          <cell r="K420">
            <v>9</v>
          </cell>
          <cell r="L420"/>
          <cell r="M420" t="str">
            <v>Order</v>
          </cell>
          <cell r="N420" t="str">
            <v>Russia</v>
          </cell>
          <cell r="O420" t="str">
            <v>Эталон</v>
          </cell>
          <cell r="P420" t="str">
            <v>4 weeks</v>
          </cell>
          <cell r="Q420"/>
          <cell r="R420"/>
        </row>
        <row r="421">
          <cell r="B421">
            <v>415</v>
          </cell>
          <cell r="C421">
            <v>1</v>
          </cell>
          <cell r="D421" t="str">
            <v>Car</v>
          </cell>
          <cell r="E421" t="str">
            <v>ОСП0010769</v>
          </cell>
          <cell r="F421">
            <v>46451519540</v>
          </cell>
          <cell r="G421" t="str">
            <v>61670080_00</v>
          </cell>
          <cell r="H421" t="str">
            <v>Плинтус кабины RRL1000W-M, RAL</v>
          </cell>
          <cell r="I421" t="str">
            <v>Skirt guard for car RRL1000W-M, RAL</v>
          </cell>
          <cell r="J421" t="str">
            <v>шт</v>
          </cell>
          <cell r="K421">
            <v>9</v>
          </cell>
          <cell r="L421"/>
          <cell r="M421" t="str">
            <v>Order</v>
          </cell>
          <cell r="N421" t="str">
            <v>Russia</v>
          </cell>
          <cell r="O421" t="str">
            <v>Эталон</v>
          </cell>
          <cell r="P421" t="str">
            <v>4 weeks</v>
          </cell>
          <cell r="Q421"/>
          <cell r="R421"/>
        </row>
        <row r="422">
          <cell r="B422">
            <v>416</v>
          </cell>
          <cell r="C422">
            <v>1</v>
          </cell>
          <cell r="D422" t="str">
            <v>Car</v>
          </cell>
          <cell r="E422" t="str">
            <v>ОСП0010770</v>
          </cell>
          <cell r="F422">
            <v>46451519511</v>
          </cell>
          <cell r="G422" t="str">
            <v>61670267_00</v>
          </cell>
          <cell r="H422" t="str">
            <v>Плинтус кабины RRL400-M, SS</v>
          </cell>
          <cell r="I422" t="str">
            <v>Skirt guard for car RRL400-M, SS</v>
          </cell>
          <cell r="J422" t="str">
            <v>шт</v>
          </cell>
          <cell r="K422">
            <v>9</v>
          </cell>
          <cell r="L422"/>
          <cell r="M422" t="str">
            <v>Order</v>
          </cell>
          <cell r="N422" t="str">
            <v>Russia</v>
          </cell>
          <cell r="O422" t="str">
            <v>Эталон</v>
          </cell>
          <cell r="P422" t="str">
            <v>4 weeks</v>
          </cell>
          <cell r="Q422"/>
          <cell r="R422"/>
        </row>
        <row r="423">
          <cell r="B423">
            <v>417</v>
          </cell>
          <cell r="C423">
            <v>1</v>
          </cell>
          <cell r="D423" t="str">
            <v>Car</v>
          </cell>
          <cell r="E423" t="str">
            <v>ОСП0010771</v>
          </cell>
          <cell r="F423">
            <v>46451519521</v>
          </cell>
          <cell r="G423" t="str">
            <v>61670290_00</v>
          </cell>
          <cell r="H423" t="str">
            <v>Плинтус кабины RRL630-M, SS</v>
          </cell>
          <cell r="I423" t="str">
            <v>Skirt guard for car RRL630-M, SS</v>
          </cell>
          <cell r="J423" t="str">
            <v>шт</v>
          </cell>
          <cell r="K423">
            <v>9</v>
          </cell>
          <cell r="L423"/>
          <cell r="M423" t="str">
            <v>Order</v>
          </cell>
          <cell r="N423" t="str">
            <v>Russia</v>
          </cell>
          <cell r="O423" t="str">
            <v>Эталон</v>
          </cell>
          <cell r="P423" t="str">
            <v>4 weeks</v>
          </cell>
          <cell r="Q423"/>
          <cell r="R423"/>
        </row>
        <row r="424">
          <cell r="B424">
            <v>418</v>
          </cell>
          <cell r="C424">
            <v>1</v>
          </cell>
          <cell r="D424" t="str">
            <v>Car</v>
          </cell>
          <cell r="E424" t="str">
            <v>ОСП0010772</v>
          </cell>
          <cell r="F424">
            <v>46451519531</v>
          </cell>
          <cell r="G424" t="str">
            <v>61670174_00</v>
          </cell>
          <cell r="H424" t="str">
            <v>Плинтус кабины RRL1000D-M, SS</v>
          </cell>
          <cell r="I424" t="str">
            <v>Skirt guard for car RRL1000D-M, SS</v>
          </cell>
          <cell r="J424" t="str">
            <v>шт</v>
          </cell>
          <cell r="K424">
            <v>9</v>
          </cell>
          <cell r="L424"/>
          <cell r="M424" t="str">
            <v>Order</v>
          </cell>
          <cell r="N424" t="str">
            <v>Russia</v>
          </cell>
          <cell r="O424" t="str">
            <v>Эталон</v>
          </cell>
          <cell r="P424" t="str">
            <v>4 weeks</v>
          </cell>
          <cell r="Q424"/>
          <cell r="R424"/>
        </row>
        <row r="425">
          <cell r="B425">
            <v>419</v>
          </cell>
          <cell r="C425">
            <v>1</v>
          </cell>
          <cell r="D425" t="str">
            <v>Car</v>
          </cell>
          <cell r="E425" t="str">
            <v>ОСП0010773</v>
          </cell>
          <cell r="F425">
            <v>46451519541</v>
          </cell>
          <cell r="G425" t="str">
            <v>61670080_00</v>
          </cell>
          <cell r="H425" t="str">
            <v>Плинтус кабины RRL1000W-M, SS</v>
          </cell>
          <cell r="I425" t="str">
            <v>Skirt guard for car RRL1000W-M, SS</v>
          </cell>
          <cell r="J425" t="str">
            <v>шт</v>
          </cell>
          <cell r="K425">
            <v>9</v>
          </cell>
          <cell r="L425"/>
          <cell r="M425" t="str">
            <v>Order</v>
          </cell>
          <cell r="N425" t="str">
            <v>Russia</v>
          </cell>
          <cell r="O425" t="str">
            <v>Эталон</v>
          </cell>
          <cell r="P425" t="str">
            <v>4 weeks</v>
          </cell>
          <cell r="Q425"/>
          <cell r="R425"/>
        </row>
        <row r="426">
          <cell r="B426">
            <v>420</v>
          </cell>
          <cell r="C426">
            <v>1</v>
          </cell>
          <cell r="D426" t="str">
            <v>Door</v>
          </cell>
          <cell r="E426" t="str">
            <v>ОСП0005442</v>
          </cell>
          <cell r="F426">
            <v>59451511010</v>
          </cell>
          <cell r="G426" t="str">
            <v>PCC2700CDL</v>
          </cell>
          <cell r="H426" t="str">
            <v>Дверь кабины Fermator Premium PM 2CO-700-2000C-RAL7032</v>
          </cell>
          <cell r="I426" t="str">
            <v>Car door Fermator Premium PM 2CO-700-2000C-RAL7032</v>
          </cell>
          <cell r="J426" t="str">
            <v>шт</v>
          </cell>
          <cell r="K426">
            <v>16</v>
          </cell>
          <cell r="L426"/>
          <cell r="M426" t="str">
            <v>Order</v>
          </cell>
          <cell r="N426" t="str">
            <v>Poland</v>
          </cell>
          <cell r="O426" t="str">
            <v>Enginova</v>
          </cell>
          <cell r="P426" t="str">
            <v>5-8 weeks</v>
          </cell>
          <cell r="Q426"/>
          <cell r="R426"/>
        </row>
        <row r="427">
          <cell r="B427">
            <v>421</v>
          </cell>
          <cell r="C427">
            <v>1</v>
          </cell>
          <cell r="D427" t="str">
            <v>Door</v>
          </cell>
          <cell r="E427" t="str">
            <v>ОСП0006404</v>
          </cell>
          <cell r="F427">
            <v>59451511013</v>
          </cell>
          <cell r="G427" t="str">
            <v>PCC2700SSCDL</v>
          </cell>
          <cell r="H427" t="str">
            <v>Дверь кабины Fermator Premium PM 2CO-700-2000C-SS</v>
          </cell>
          <cell r="I427" t="str">
            <v>Car door Fermator Premium PM 2CO-700-2000C-SS</v>
          </cell>
          <cell r="J427" t="str">
            <v>шт</v>
          </cell>
          <cell r="K427">
            <v>16</v>
          </cell>
          <cell r="L427"/>
          <cell r="M427" t="str">
            <v>Order</v>
          </cell>
          <cell r="N427" t="str">
            <v>Poland</v>
          </cell>
          <cell r="O427" t="str">
            <v>Enginova</v>
          </cell>
          <cell r="P427" t="str">
            <v>5-8 weeks</v>
          </cell>
          <cell r="Q427"/>
          <cell r="R427"/>
        </row>
        <row r="428">
          <cell r="B428">
            <v>422</v>
          </cell>
          <cell r="C428">
            <v>1</v>
          </cell>
          <cell r="D428" t="str">
            <v>Door</v>
          </cell>
          <cell r="E428" t="str">
            <v>ОСП0007634</v>
          </cell>
          <cell r="F428">
            <v>59451511040</v>
          </cell>
          <cell r="G428"/>
          <cell r="H428" t="str">
            <v>Дверь кабины Fermator Premium PM 2СO-800-2000С-RAL7032</v>
          </cell>
          <cell r="I428" t="str">
            <v>Car door Fermator Premium PM 2СO-800-2000С-RAL7032</v>
          </cell>
          <cell r="J428" t="str">
            <v>шт</v>
          </cell>
          <cell r="K428">
            <v>16</v>
          </cell>
          <cell r="L428"/>
          <cell r="M428" t="str">
            <v>Order</v>
          </cell>
          <cell r="N428" t="str">
            <v>Poland</v>
          </cell>
          <cell r="O428" t="str">
            <v>Enginova</v>
          </cell>
          <cell r="P428" t="str">
            <v>5-8 weeks</v>
          </cell>
          <cell r="Q428"/>
          <cell r="R428"/>
        </row>
        <row r="429">
          <cell r="B429">
            <v>423</v>
          </cell>
          <cell r="C429">
            <v>1</v>
          </cell>
          <cell r="D429" t="str">
            <v>Door</v>
          </cell>
          <cell r="E429" t="str">
            <v>ОСП0007637</v>
          </cell>
          <cell r="F429">
            <v>59451511041</v>
          </cell>
          <cell r="G429"/>
          <cell r="H429" t="str">
            <v>Дверь кабины Fermator Premium PM 2СO-800-2000С-SS</v>
          </cell>
          <cell r="I429" t="str">
            <v>Car door Fermator Premium PM 2СO-800-2000С-SS</v>
          </cell>
          <cell r="J429" t="str">
            <v>шт</v>
          </cell>
          <cell r="K429">
            <v>16</v>
          </cell>
          <cell r="L429"/>
          <cell r="M429" t="str">
            <v>Order</v>
          </cell>
          <cell r="N429" t="str">
            <v>Poland</v>
          </cell>
          <cell r="O429" t="str">
            <v>Enginova</v>
          </cell>
          <cell r="P429" t="str">
            <v>5-8 weeks</v>
          </cell>
          <cell r="Q429"/>
          <cell r="R429"/>
        </row>
        <row r="430">
          <cell r="B430">
            <v>424</v>
          </cell>
          <cell r="C430">
            <v>1</v>
          </cell>
          <cell r="D430" t="str">
            <v>Door</v>
          </cell>
          <cell r="E430" t="str">
            <v>ОСП0006408</v>
          </cell>
          <cell r="F430">
            <v>59451511020</v>
          </cell>
          <cell r="G430" t="str">
            <v>PCI21200CDL</v>
          </cell>
          <cell r="H430" t="str">
            <v>Дверь кабины Fermator Premium PM 2SO-1200-2000L-RAL7032</v>
          </cell>
          <cell r="I430" t="str">
            <v>Car door Fermator Premium PM 2SO-1200-2000L-RAL7032</v>
          </cell>
          <cell r="J430" t="str">
            <v>шт</v>
          </cell>
          <cell r="K430">
            <v>16</v>
          </cell>
          <cell r="L430"/>
          <cell r="M430" t="str">
            <v>Order</v>
          </cell>
          <cell r="N430" t="str">
            <v>Poland</v>
          </cell>
          <cell r="O430" t="str">
            <v>Enginova</v>
          </cell>
          <cell r="P430" t="str">
            <v>5-8 weeks</v>
          </cell>
          <cell r="Q430"/>
          <cell r="R430"/>
        </row>
        <row r="431">
          <cell r="B431">
            <v>425</v>
          </cell>
          <cell r="C431">
            <v>1</v>
          </cell>
          <cell r="D431" t="str">
            <v>Door</v>
          </cell>
          <cell r="E431" t="str">
            <v>ОСП0004098</v>
          </cell>
          <cell r="F431">
            <v>59451511023</v>
          </cell>
          <cell r="G431" t="str">
            <v>PCI21200SSCDL</v>
          </cell>
          <cell r="H431" t="str">
            <v>Дверь кабины Fermator Premium PM 2SO-1200-2000L-SS</v>
          </cell>
          <cell r="I431" t="str">
            <v>Car door Fermator Premium PM 2SO-1200-2000L-SS</v>
          </cell>
          <cell r="J431" t="str">
            <v>шт</v>
          </cell>
          <cell r="K431">
            <v>16</v>
          </cell>
          <cell r="L431"/>
          <cell r="M431" t="str">
            <v>Order</v>
          </cell>
          <cell r="N431" t="str">
            <v>Poland</v>
          </cell>
          <cell r="O431" t="str">
            <v>Enginova</v>
          </cell>
          <cell r="P431" t="str">
            <v>5-8 weeks</v>
          </cell>
          <cell r="Q431"/>
          <cell r="R431"/>
        </row>
        <row r="432">
          <cell r="B432">
            <v>426</v>
          </cell>
          <cell r="C432">
            <v>1</v>
          </cell>
          <cell r="D432" t="str">
            <v>Door</v>
          </cell>
          <cell r="E432" t="str">
            <v>ОСП0006985</v>
          </cell>
          <cell r="F432">
            <v>59451511026</v>
          </cell>
          <cell r="G432" t="str">
            <v>PCI21200CDR</v>
          </cell>
          <cell r="H432" t="str">
            <v>Дверь кабины Fermator Premium PM 2SO-1200-2000R-RAL7032</v>
          </cell>
          <cell r="I432" t="str">
            <v>Car door Fermator Premium PM 2SO-1200-2000R-RAL7032</v>
          </cell>
          <cell r="J432" t="str">
            <v>шт</v>
          </cell>
          <cell r="K432">
            <v>16</v>
          </cell>
          <cell r="L432"/>
          <cell r="M432" t="str">
            <v>Order</v>
          </cell>
          <cell r="N432" t="str">
            <v>Poland</v>
          </cell>
          <cell r="O432" t="str">
            <v>Enginova</v>
          </cell>
          <cell r="P432" t="str">
            <v>5-8 weeks</v>
          </cell>
          <cell r="Q432"/>
          <cell r="R432"/>
        </row>
        <row r="433">
          <cell r="B433">
            <v>427</v>
          </cell>
          <cell r="C433">
            <v>1</v>
          </cell>
          <cell r="D433" t="str">
            <v>Door</v>
          </cell>
          <cell r="E433" t="str">
            <v>ОСП0006894</v>
          </cell>
          <cell r="F433">
            <v>59451511029</v>
          </cell>
          <cell r="G433" t="str">
            <v>PCI21200SSCDR</v>
          </cell>
          <cell r="H433" t="str">
            <v>Дверь кабины Fermator Premium PM 2SO-1200-2000R-SS</v>
          </cell>
          <cell r="I433" t="str">
            <v>Car door Fermator Premium PM 2SO-1200-2000R-SS</v>
          </cell>
          <cell r="J433" t="str">
            <v>шт</v>
          </cell>
          <cell r="K433">
            <v>16</v>
          </cell>
          <cell r="L433"/>
          <cell r="M433" t="str">
            <v>Order</v>
          </cell>
          <cell r="N433" t="str">
            <v>Poland</v>
          </cell>
          <cell r="O433" t="str">
            <v>Enginova</v>
          </cell>
          <cell r="P433" t="str">
            <v>5-8 weeks</v>
          </cell>
          <cell r="Q433"/>
          <cell r="R433"/>
        </row>
        <row r="434">
          <cell r="B434">
            <v>428</v>
          </cell>
          <cell r="C434">
            <v>1</v>
          </cell>
          <cell r="D434" t="str">
            <v>Door</v>
          </cell>
          <cell r="E434" t="str">
            <v>ОСП0007996</v>
          </cell>
          <cell r="F434">
            <v>59451511060</v>
          </cell>
          <cell r="G434"/>
          <cell r="H434" t="str">
            <v>Дверь кабины Fermator Premium PM 2SO-900-2000L-RAL7032</v>
          </cell>
          <cell r="I434" t="str">
            <v>Car door Fermator Premium PM 2SO-900-2000L-RAL7032</v>
          </cell>
          <cell r="J434" t="str">
            <v>шт</v>
          </cell>
          <cell r="K434">
            <v>16</v>
          </cell>
          <cell r="L434"/>
          <cell r="M434" t="str">
            <v>Order</v>
          </cell>
          <cell r="N434" t="str">
            <v>Poland</v>
          </cell>
          <cell r="O434" t="str">
            <v>Enginova</v>
          </cell>
          <cell r="P434" t="str">
            <v>5-8 weeks</v>
          </cell>
          <cell r="Q434"/>
          <cell r="R434"/>
        </row>
        <row r="435">
          <cell r="B435">
            <v>429</v>
          </cell>
          <cell r="C435">
            <v>1</v>
          </cell>
          <cell r="D435" t="str">
            <v>Door</v>
          </cell>
          <cell r="E435" t="str">
            <v>ОСП0007997</v>
          </cell>
          <cell r="F435">
            <v>59451511061</v>
          </cell>
          <cell r="G435"/>
          <cell r="H435" t="str">
            <v>Дверь кабины Fermator Premium PM 2SO-900-2000L-SS</v>
          </cell>
          <cell r="I435" t="str">
            <v>Car door Fermator Premium PM 2SO-900-2000L-SS</v>
          </cell>
          <cell r="J435" t="str">
            <v>шт</v>
          </cell>
          <cell r="K435">
            <v>16</v>
          </cell>
          <cell r="L435"/>
          <cell r="M435" t="str">
            <v>Order</v>
          </cell>
          <cell r="N435" t="str">
            <v>Poland</v>
          </cell>
          <cell r="O435" t="str">
            <v>Enginova</v>
          </cell>
          <cell r="P435" t="str">
            <v>5-8 weeks</v>
          </cell>
          <cell r="Q435"/>
          <cell r="R435"/>
        </row>
        <row r="436">
          <cell r="B436">
            <v>430</v>
          </cell>
          <cell r="C436">
            <v>1</v>
          </cell>
          <cell r="D436" t="str">
            <v>Door</v>
          </cell>
          <cell r="E436" t="str">
            <v>ОСП0007998</v>
          </cell>
          <cell r="F436">
            <v>59451511062</v>
          </cell>
          <cell r="G436"/>
          <cell r="H436" t="str">
            <v>Дверь кабины Fermator Premium PM 2SO-900-2000R-RAL7032</v>
          </cell>
          <cell r="I436" t="str">
            <v>Car door Fermator Premium PM 2SO-900-2000R-RAL7032</v>
          </cell>
          <cell r="J436" t="str">
            <v>шт</v>
          </cell>
          <cell r="K436">
            <v>16</v>
          </cell>
          <cell r="L436"/>
          <cell r="M436" t="str">
            <v>Order</v>
          </cell>
          <cell r="N436" t="str">
            <v>Poland</v>
          </cell>
          <cell r="O436" t="str">
            <v>Enginova</v>
          </cell>
          <cell r="P436" t="str">
            <v>5-8 weeks</v>
          </cell>
          <cell r="Q436"/>
          <cell r="R436"/>
        </row>
        <row r="437">
          <cell r="B437">
            <v>431</v>
          </cell>
          <cell r="C437">
            <v>1</v>
          </cell>
          <cell r="D437" t="str">
            <v>Door</v>
          </cell>
          <cell r="E437" t="str">
            <v>ОСП0007999</v>
          </cell>
          <cell r="F437">
            <v>59451511063</v>
          </cell>
          <cell r="G437"/>
          <cell r="H437" t="str">
            <v>Дверь кабины Fermator Premium PM 2SO-900-2000R- SS</v>
          </cell>
          <cell r="I437" t="str">
            <v>Car door Fermator Premium PM 2SO-900-2000R- SS</v>
          </cell>
          <cell r="J437" t="str">
            <v>шт</v>
          </cell>
          <cell r="K437">
            <v>16</v>
          </cell>
          <cell r="L437"/>
          <cell r="M437" t="str">
            <v>Order</v>
          </cell>
          <cell r="N437" t="str">
            <v>Poland</v>
          </cell>
          <cell r="O437" t="str">
            <v>Enginova</v>
          </cell>
          <cell r="P437" t="str">
            <v>5-8 weeks</v>
          </cell>
          <cell r="Q437"/>
          <cell r="R437"/>
        </row>
        <row r="438">
          <cell r="B438">
            <v>432</v>
          </cell>
          <cell r="C438">
            <v>1</v>
          </cell>
          <cell r="D438" t="str">
            <v>Door</v>
          </cell>
          <cell r="E438" t="str">
            <v>ОСП0008667</v>
          </cell>
          <cell r="F438">
            <v>59451511070</v>
          </cell>
          <cell r="G438"/>
          <cell r="H438" t="str">
            <v>Дверь кабины Fermator Premium PM 2SO-700-2000L-RAL7032</v>
          </cell>
          <cell r="I438" t="str">
            <v>Car door Fermator Premium PM 2SO-700-2000L-RAL7032</v>
          </cell>
          <cell r="J438" t="str">
            <v>шт</v>
          </cell>
          <cell r="K438">
            <v>16</v>
          </cell>
          <cell r="L438"/>
          <cell r="M438" t="str">
            <v>Order</v>
          </cell>
          <cell r="N438" t="str">
            <v>Poland</v>
          </cell>
          <cell r="O438" t="str">
            <v>Enginova</v>
          </cell>
          <cell r="P438" t="str">
            <v>5-8 weeks</v>
          </cell>
          <cell r="Q438"/>
          <cell r="R438"/>
        </row>
        <row r="439">
          <cell r="B439">
            <v>433</v>
          </cell>
          <cell r="C439">
            <v>1</v>
          </cell>
          <cell r="D439" t="str">
            <v>Door</v>
          </cell>
          <cell r="E439" t="str">
            <v>ОСП0008670</v>
          </cell>
          <cell r="F439">
            <v>59451511073</v>
          </cell>
          <cell r="G439"/>
          <cell r="H439" t="str">
            <v>Дверь кабины Fermator Premium PM 2SO-700-2000L-SS</v>
          </cell>
          <cell r="I439" t="str">
            <v>Car door Fermator Premium PM 2SO-700-2000L-SS</v>
          </cell>
          <cell r="J439" t="str">
            <v>шт</v>
          </cell>
          <cell r="K439">
            <v>16</v>
          </cell>
          <cell r="L439"/>
          <cell r="M439" t="str">
            <v>Order</v>
          </cell>
          <cell r="N439" t="str">
            <v>Poland</v>
          </cell>
          <cell r="O439" t="str">
            <v>Enginova</v>
          </cell>
          <cell r="P439" t="str">
            <v>5-8 weeks</v>
          </cell>
          <cell r="Q439"/>
          <cell r="R439"/>
        </row>
        <row r="440">
          <cell r="B440">
            <v>434</v>
          </cell>
          <cell r="C440">
            <v>1</v>
          </cell>
          <cell r="D440" t="str">
            <v>Door</v>
          </cell>
          <cell r="E440" t="str">
            <v>ОСП0008673</v>
          </cell>
          <cell r="F440">
            <v>59451511076</v>
          </cell>
          <cell r="G440"/>
          <cell r="H440" t="str">
            <v>Дверь кабины Fermator Premium PM 2SO-700-2000R-RAL7032</v>
          </cell>
          <cell r="I440" t="str">
            <v>Car door Fermator Premium PM 2SO-700-2000R-RAL7032</v>
          </cell>
          <cell r="J440" t="str">
            <v>шт</v>
          </cell>
          <cell r="K440">
            <v>16</v>
          </cell>
          <cell r="L440"/>
          <cell r="M440" t="str">
            <v>Order</v>
          </cell>
          <cell r="N440" t="str">
            <v>Poland</v>
          </cell>
          <cell r="O440" t="str">
            <v>Enginova</v>
          </cell>
          <cell r="P440" t="str">
            <v>5-8 weeks</v>
          </cell>
          <cell r="Q440"/>
          <cell r="R440"/>
        </row>
        <row r="441">
          <cell r="B441">
            <v>435</v>
          </cell>
          <cell r="C441">
            <v>1</v>
          </cell>
          <cell r="D441" t="str">
            <v>Door</v>
          </cell>
          <cell r="E441" t="str">
            <v>ОСП0008676</v>
          </cell>
          <cell r="F441">
            <v>59451511079</v>
          </cell>
          <cell r="G441"/>
          <cell r="H441" t="str">
            <v>Дверь кабины Fermator Premium PM 2SO-700-2000R-SS</v>
          </cell>
          <cell r="I441" t="str">
            <v>Car door Fermator Premium PM 2SO-700-2000R-SS</v>
          </cell>
          <cell r="J441" t="str">
            <v>шт</v>
          </cell>
          <cell r="K441">
            <v>16</v>
          </cell>
          <cell r="L441"/>
          <cell r="M441" t="str">
            <v>Order</v>
          </cell>
          <cell r="N441" t="str">
            <v>Poland</v>
          </cell>
          <cell r="O441" t="str">
            <v>Enginova</v>
          </cell>
          <cell r="P441" t="str">
            <v>5-8 weeks</v>
          </cell>
          <cell r="Q441"/>
          <cell r="R441"/>
        </row>
        <row r="442">
          <cell r="B442">
            <v>436</v>
          </cell>
          <cell r="C442">
            <v>1</v>
          </cell>
          <cell r="D442" t="str">
            <v>Door</v>
          </cell>
          <cell r="E442" t="str">
            <v>ОСП0005446</v>
          </cell>
          <cell r="F442">
            <v>59451511011</v>
          </cell>
          <cell r="G442" t="str">
            <v>PRC2700E</v>
          </cell>
          <cell r="H442" t="str">
            <v>Дверь шахты Fermator 40/10 2CO-700-2000C-E30-RAL7032</v>
          </cell>
          <cell r="I442" t="str">
            <v>Landing door Fermator 40/10 2CO-700-2000C-E30-RAL7032</v>
          </cell>
          <cell r="J442" t="str">
            <v>шт</v>
          </cell>
          <cell r="K442">
            <v>13</v>
          </cell>
          <cell r="L442"/>
          <cell r="M442" t="str">
            <v>Order</v>
          </cell>
          <cell r="N442" t="str">
            <v>Poland</v>
          </cell>
          <cell r="O442" t="str">
            <v>Enginova</v>
          </cell>
          <cell r="P442" t="str">
            <v>5-8 weeks</v>
          </cell>
          <cell r="Q442"/>
          <cell r="R442"/>
        </row>
        <row r="443">
          <cell r="B443">
            <v>437</v>
          </cell>
          <cell r="C443">
            <v>1</v>
          </cell>
          <cell r="D443" t="str">
            <v>Door</v>
          </cell>
          <cell r="E443" t="str">
            <v>ОСП0006405</v>
          </cell>
          <cell r="F443">
            <v>59451511012</v>
          </cell>
          <cell r="G443" t="str">
            <v>PRC2700EI60</v>
          </cell>
          <cell r="H443" t="str">
            <v>Дверь шахты Fermator 40/10 2CO-700-2000C-EI60-RAL7032</v>
          </cell>
          <cell r="I443" t="str">
            <v>Landing door Fermator 40/10 2CO-700-2000C-EI60-RAL7032</v>
          </cell>
          <cell r="J443" t="str">
            <v>шт</v>
          </cell>
          <cell r="K443">
            <v>13</v>
          </cell>
          <cell r="L443"/>
          <cell r="M443" t="str">
            <v>Order</v>
          </cell>
          <cell r="N443" t="str">
            <v>Poland</v>
          </cell>
          <cell r="O443" t="str">
            <v>Enginova</v>
          </cell>
          <cell r="P443" t="str">
            <v>5-8 weeks</v>
          </cell>
          <cell r="Q443"/>
          <cell r="R443"/>
        </row>
        <row r="444">
          <cell r="B444">
            <v>438</v>
          </cell>
          <cell r="C444">
            <v>1</v>
          </cell>
          <cell r="D444" t="str">
            <v>Door</v>
          </cell>
          <cell r="E444" t="str">
            <v>ОСП0006406</v>
          </cell>
          <cell r="F444">
            <v>59451511014</v>
          </cell>
          <cell r="G444" t="str">
            <v>PRC2700SSE</v>
          </cell>
          <cell r="H444" t="str">
            <v>Дверь шахты Fermator 40/10 2CO-700-2000C-E30-SS</v>
          </cell>
          <cell r="I444" t="str">
            <v>Landing door Fermator 40/10 2CO-700-2000C-E30-SS</v>
          </cell>
          <cell r="J444" t="str">
            <v>шт</v>
          </cell>
          <cell r="K444">
            <v>13</v>
          </cell>
          <cell r="L444"/>
          <cell r="M444" t="str">
            <v>Order</v>
          </cell>
          <cell r="N444" t="str">
            <v>Poland</v>
          </cell>
          <cell r="O444" t="str">
            <v>Enginova</v>
          </cell>
          <cell r="P444" t="str">
            <v>5-8 weeks</v>
          </cell>
          <cell r="Q444"/>
          <cell r="R444"/>
        </row>
        <row r="445">
          <cell r="B445">
            <v>439</v>
          </cell>
          <cell r="C445">
            <v>1</v>
          </cell>
          <cell r="D445" t="str">
            <v>Door</v>
          </cell>
          <cell r="E445" t="str">
            <v>ОСП0006407</v>
          </cell>
          <cell r="F445">
            <v>59451511015</v>
          </cell>
          <cell r="G445" t="str">
            <v>PRC2700SSEI60</v>
          </cell>
          <cell r="H445" t="str">
            <v>Дверь шахты Fermator 40/10 2CO-700-2000C-EI60-SS</v>
          </cell>
          <cell r="I445" t="str">
            <v>Landing door Fermator 40/10 2CO-700-2000C-EI60-SS</v>
          </cell>
          <cell r="J445" t="str">
            <v>шт</v>
          </cell>
          <cell r="K445">
            <v>13</v>
          </cell>
          <cell r="L445"/>
          <cell r="M445" t="str">
            <v>Order</v>
          </cell>
          <cell r="N445" t="str">
            <v>Poland</v>
          </cell>
          <cell r="O445" t="str">
            <v>Enginova</v>
          </cell>
          <cell r="P445" t="str">
            <v>5-8 weeks</v>
          </cell>
          <cell r="Q445"/>
          <cell r="R445"/>
        </row>
        <row r="446">
          <cell r="B446">
            <v>440</v>
          </cell>
          <cell r="C446">
            <v>1</v>
          </cell>
          <cell r="D446" t="str">
            <v>Door</v>
          </cell>
          <cell r="E446" t="str">
            <v>ОСП0007635</v>
          </cell>
          <cell r="F446">
            <v>59451511043</v>
          </cell>
          <cell r="G446"/>
          <cell r="H446" t="str">
            <v>Дверь шахты Fermator 40/10 2CO-800-2000C-E30-RAL7032</v>
          </cell>
          <cell r="I446" t="str">
            <v>Landing door Fermator 40/10 2CO-800-2000C-E30-RAL7032</v>
          </cell>
          <cell r="J446" t="str">
            <v>шт</v>
          </cell>
          <cell r="K446">
            <v>13</v>
          </cell>
          <cell r="L446"/>
          <cell r="M446" t="str">
            <v>Order</v>
          </cell>
          <cell r="N446" t="str">
            <v>Poland</v>
          </cell>
          <cell r="O446" t="str">
            <v>Enginova</v>
          </cell>
          <cell r="P446" t="str">
            <v>5-8 weeks</v>
          </cell>
          <cell r="Q446"/>
          <cell r="R446"/>
        </row>
        <row r="447">
          <cell r="B447">
            <v>441</v>
          </cell>
          <cell r="C447">
            <v>1</v>
          </cell>
          <cell r="D447" t="str">
            <v>Door</v>
          </cell>
          <cell r="E447" t="str">
            <v>ОСП0007636</v>
          </cell>
          <cell r="F447">
            <v>59451511042</v>
          </cell>
          <cell r="G447"/>
          <cell r="H447" t="str">
            <v>Дверь шахты Fermator 40/10 2CO-800-2000C-EI60-RAL7032</v>
          </cell>
          <cell r="I447" t="str">
            <v>Landing door Fermator 40/10 2CO-800-2000C-EI60-RAL7032</v>
          </cell>
          <cell r="J447" t="str">
            <v>шт</v>
          </cell>
          <cell r="K447">
            <v>13</v>
          </cell>
          <cell r="L447"/>
          <cell r="M447" t="str">
            <v>Order</v>
          </cell>
          <cell r="N447" t="str">
            <v>Poland</v>
          </cell>
          <cell r="O447" t="str">
            <v>Enginova</v>
          </cell>
          <cell r="P447" t="str">
            <v>5-8 weeks</v>
          </cell>
          <cell r="Q447"/>
          <cell r="R447"/>
        </row>
        <row r="448">
          <cell r="B448">
            <v>442</v>
          </cell>
          <cell r="C448">
            <v>1</v>
          </cell>
          <cell r="D448" t="str">
            <v>Door</v>
          </cell>
          <cell r="E448" t="str">
            <v>ОСП0007638</v>
          </cell>
          <cell r="F448">
            <v>59451511044</v>
          </cell>
          <cell r="G448"/>
          <cell r="H448" t="str">
            <v>Дверь шахты Fermator 40/10 2CO-800-2000C-E30-SS</v>
          </cell>
          <cell r="I448" t="str">
            <v>Landing door Fermator 40/10 2CO-800-2000C-E30-SS</v>
          </cell>
          <cell r="J448" t="str">
            <v>шт</v>
          </cell>
          <cell r="K448">
            <v>13</v>
          </cell>
          <cell r="L448"/>
          <cell r="M448" t="str">
            <v>Order</v>
          </cell>
          <cell r="N448" t="str">
            <v>Poland</v>
          </cell>
          <cell r="O448" t="str">
            <v>Enginova</v>
          </cell>
          <cell r="P448" t="str">
            <v>5-8 weeks</v>
          </cell>
          <cell r="Q448"/>
          <cell r="R448"/>
        </row>
        <row r="449">
          <cell r="B449">
            <v>443</v>
          </cell>
          <cell r="C449">
            <v>1</v>
          </cell>
          <cell r="D449" t="str">
            <v>Door</v>
          </cell>
          <cell r="E449" t="str">
            <v>ОСП0007639</v>
          </cell>
          <cell r="F449">
            <v>59451511045</v>
          </cell>
          <cell r="G449"/>
          <cell r="H449" t="str">
            <v>Дверь шахты Fermator 40/10 2CO-800-2000C-EI60-SS</v>
          </cell>
          <cell r="I449" t="str">
            <v>Landing door Fermator 40/10 2CO-800-2000C-EI60-SS</v>
          </cell>
          <cell r="J449" t="str">
            <v>шт</v>
          </cell>
          <cell r="K449">
            <v>13</v>
          </cell>
          <cell r="L449"/>
          <cell r="M449" t="str">
            <v>Order</v>
          </cell>
          <cell r="N449" t="str">
            <v>Poland</v>
          </cell>
          <cell r="O449" t="str">
            <v>Enginova</v>
          </cell>
          <cell r="P449" t="str">
            <v>5-8 weeks</v>
          </cell>
          <cell r="Q449"/>
          <cell r="R449"/>
        </row>
        <row r="450">
          <cell r="B450">
            <v>444</v>
          </cell>
          <cell r="C450">
            <v>1</v>
          </cell>
          <cell r="D450" t="str">
            <v>Door</v>
          </cell>
          <cell r="E450" t="str">
            <v>ОСП0006409</v>
          </cell>
          <cell r="F450">
            <v>59451511021</v>
          </cell>
          <cell r="G450" t="str">
            <v>PRI21200E</v>
          </cell>
          <cell r="H450" t="str">
            <v>Дверь шахты Fermator 40/10 2SO-1200-2000L-E30-RAL7032</v>
          </cell>
          <cell r="I450" t="str">
            <v>Landing door Fermator 40/10 2SO-1200-2000L-E30-RAL7032</v>
          </cell>
          <cell r="J450" t="str">
            <v>шт</v>
          </cell>
          <cell r="K450">
            <v>13</v>
          </cell>
          <cell r="L450"/>
          <cell r="M450" t="str">
            <v>Order</v>
          </cell>
          <cell r="N450" t="str">
            <v>Poland</v>
          </cell>
          <cell r="O450" t="str">
            <v>Enginova</v>
          </cell>
          <cell r="P450" t="str">
            <v>5-8 weeks</v>
          </cell>
          <cell r="Q450"/>
          <cell r="R450"/>
        </row>
        <row r="451">
          <cell r="B451">
            <v>445</v>
          </cell>
          <cell r="C451">
            <v>1</v>
          </cell>
          <cell r="D451" t="str">
            <v>Door</v>
          </cell>
          <cell r="E451" t="str">
            <v>ОСП0006410</v>
          </cell>
          <cell r="F451">
            <v>59451511022</v>
          </cell>
          <cell r="G451" t="str">
            <v>PRI21200EI60</v>
          </cell>
          <cell r="H451" t="str">
            <v>Дверь шахты Fermator 40/10 2SO-1200-2000L-EI60-RAL7032</v>
          </cell>
          <cell r="I451" t="str">
            <v>Landing door Fermator 40/10 2SO-1200-2000L-EI60-RAL7032</v>
          </cell>
          <cell r="J451" t="str">
            <v>шт</v>
          </cell>
          <cell r="K451">
            <v>13</v>
          </cell>
          <cell r="L451"/>
          <cell r="M451" t="str">
            <v>Order</v>
          </cell>
          <cell r="N451" t="str">
            <v>Poland</v>
          </cell>
          <cell r="O451" t="str">
            <v>Enginova</v>
          </cell>
          <cell r="P451" t="str">
            <v>5-8 weeks</v>
          </cell>
          <cell r="Q451"/>
          <cell r="R451"/>
        </row>
        <row r="452">
          <cell r="B452">
            <v>446</v>
          </cell>
          <cell r="C452">
            <v>1</v>
          </cell>
          <cell r="D452" t="str">
            <v>Door</v>
          </cell>
          <cell r="E452" t="str">
            <v>ОСП0005445</v>
          </cell>
          <cell r="F452">
            <v>59451511024</v>
          </cell>
          <cell r="G452" t="str">
            <v>PRI21200SSE</v>
          </cell>
          <cell r="H452" t="str">
            <v>Дверь шахты Fermator 40/10 2SO-1200-2000L-E30-SS</v>
          </cell>
          <cell r="I452" t="str">
            <v>Landing door Fermator 40/10 2SO-1200-2000L-E30-SS</v>
          </cell>
          <cell r="J452" t="str">
            <v>шт</v>
          </cell>
          <cell r="K452">
            <v>13</v>
          </cell>
          <cell r="L452"/>
          <cell r="M452" t="str">
            <v>Order</v>
          </cell>
          <cell r="N452" t="str">
            <v>Poland</v>
          </cell>
          <cell r="O452" t="str">
            <v>Enginova</v>
          </cell>
          <cell r="P452" t="str">
            <v>5-8 weeks</v>
          </cell>
          <cell r="Q452"/>
          <cell r="R452"/>
        </row>
        <row r="453">
          <cell r="B453">
            <v>447</v>
          </cell>
          <cell r="C453">
            <v>1</v>
          </cell>
          <cell r="D453" t="str">
            <v>Door</v>
          </cell>
          <cell r="E453" t="str">
            <v>ОСП0006411</v>
          </cell>
          <cell r="F453">
            <v>59451511025</v>
          </cell>
          <cell r="G453" t="str">
            <v>PRI21200SSEI60</v>
          </cell>
          <cell r="H453" t="str">
            <v>Дверь шахты Fermator 40/10 2SO-1200-2000L-EI60-SS</v>
          </cell>
          <cell r="I453" t="str">
            <v>Landing door Fermator 40/10 2SO-1200-2000L-EI60-SS</v>
          </cell>
          <cell r="J453" t="str">
            <v>шт</v>
          </cell>
          <cell r="K453">
            <v>13</v>
          </cell>
          <cell r="L453"/>
          <cell r="M453" t="str">
            <v>Order</v>
          </cell>
          <cell r="N453" t="str">
            <v>Poland</v>
          </cell>
          <cell r="O453" t="str">
            <v>Enginova</v>
          </cell>
          <cell r="P453" t="str">
            <v>5-8 weeks</v>
          </cell>
          <cell r="Q453"/>
          <cell r="R453"/>
        </row>
        <row r="454">
          <cell r="B454">
            <v>448</v>
          </cell>
          <cell r="C454">
            <v>1</v>
          </cell>
          <cell r="D454" t="str">
            <v>Door</v>
          </cell>
          <cell r="E454" t="str">
            <v>ОСП0004097</v>
          </cell>
          <cell r="F454">
            <v>59451511027</v>
          </cell>
          <cell r="G454" t="str">
            <v>RRI21200ER</v>
          </cell>
          <cell r="H454" t="str">
            <v>Дверь шахты Fermator 40/10 2SO-1200-2000R-E30-RAL7032</v>
          </cell>
          <cell r="I454" t="str">
            <v>Landing door Fermator 40/10 2SO-1200-2000R-E30-RAL7032</v>
          </cell>
          <cell r="J454" t="str">
            <v>шт</v>
          </cell>
          <cell r="K454">
            <v>13</v>
          </cell>
          <cell r="L454"/>
          <cell r="M454" t="str">
            <v>Order</v>
          </cell>
          <cell r="N454" t="str">
            <v>Poland</v>
          </cell>
          <cell r="O454" t="str">
            <v>Enginova</v>
          </cell>
          <cell r="P454" t="str">
            <v>5-8 weeks</v>
          </cell>
          <cell r="Q454"/>
          <cell r="R454"/>
        </row>
        <row r="455">
          <cell r="B455">
            <v>449</v>
          </cell>
          <cell r="C455">
            <v>1</v>
          </cell>
          <cell r="D455" t="str">
            <v>Door</v>
          </cell>
          <cell r="E455" t="str">
            <v>ОСП0006986</v>
          </cell>
          <cell r="F455">
            <v>59451511028</v>
          </cell>
          <cell r="G455" t="str">
            <v>RRI21200EI60R</v>
          </cell>
          <cell r="H455" t="str">
            <v>Дверь шахты Fermator 40/10 2SO-1200-2000R-EI60-RAL7032</v>
          </cell>
          <cell r="I455" t="str">
            <v>Landing door Fermator 40/10 2SO-1200-2000R-EI60-RAL7032</v>
          </cell>
          <cell r="J455" t="str">
            <v>шт</v>
          </cell>
          <cell r="K455">
            <v>13</v>
          </cell>
          <cell r="L455"/>
          <cell r="M455" t="str">
            <v>Order</v>
          </cell>
          <cell r="N455" t="str">
            <v>Poland</v>
          </cell>
          <cell r="O455" t="str">
            <v>Enginova</v>
          </cell>
          <cell r="P455" t="str">
            <v>5-8 weeks</v>
          </cell>
          <cell r="Q455"/>
          <cell r="R455"/>
        </row>
        <row r="456">
          <cell r="B456">
            <v>450</v>
          </cell>
          <cell r="C456">
            <v>1</v>
          </cell>
          <cell r="D456" t="str">
            <v>Door</v>
          </cell>
          <cell r="E456" t="str">
            <v>ОСП0006987</v>
          </cell>
          <cell r="F456">
            <v>59451511030</v>
          </cell>
          <cell r="G456" t="str">
            <v>RRI21200SSER</v>
          </cell>
          <cell r="H456" t="str">
            <v>Дверь шахты Fermator 40/10 2SO-1200-2000R-E30-SS</v>
          </cell>
          <cell r="I456" t="str">
            <v>Landing door Fermator 40/10 2SO-1200-2000R-E30-SS</v>
          </cell>
          <cell r="J456" t="str">
            <v>шт</v>
          </cell>
          <cell r="K456">
            <v>13</v>
          </cell>
          <cell r="L456"/>
          <cell r="M456" t="str">
            <v>Order</v>
          </cell>
          <cell r="N456" t="str">
            <v>Poland</v>
          </cell>
          <cell r="O456" t="str">
            <v>Enginova</v>
          </cell>
          <cell r="P456" t="str">
            <v>5-8 weeks</v>
          </cell>
          <cell r="Q456"/>
          <cell r="R456"/>
        </row>
        <row r="457">
          <cell r="B457">
            <v>451</v>
          </cell>
          <cell r="C457">
            <v>1</v>
          </cell>
          <cell r="D457" t="str">
            <v>Door</v>
          </cell>
          <cell r="E457" t="str">
            <v>ОСП0006895</v>
          </cell>
          <cell r="F457">
            <v>59451511031</v>
          </cell>
          <cell r="G457" t="str">
            <v>PRI21200SSEI60R</v>
          </cell>
          <cell r="H457" t="str">
            <v>Дверь шахты Fermator 40/10 2SO-1200-2000R-EI60-SS</v>
          </cell>
          <cell r="I457" t="str">
            <v>Landing door Fermator 40/10 2SO-1200-2000R-EI60-SS</v>
          </cell>
          <cell r="J457" t="str">
            <v>шт</v>
          </cell>
          <cell r="K457">
            <v>13</v>
          </cell>
          <cell r="L457"/>
          <cell r="M457" t="str">
            <v>Order</v>
          </cell>
          <cell r="N457" t="str">
            <v>Poland</v>
          </cell>
          <cell r="O457" t="str">
            <v>Enginova</v>
          </cell>
          <cell r="P457" t="str">
            <v>5-8 weeks</v>
          </cell>
          <cell r="Q457"/>
          <cell r="R457"/>
        </row>
        <row r="458">
          <cell r="B458">
            <v>452</v>
          </cell>
          <cell r="C458">
            <v>1</v>
          </cell>
          <cell r="D458" t="str">
            <v>Door</v>
          </cell>
          <cell r="E458" t="str">
            <v>ОСП0007988</v>
          </cell>
          <cell r="F458">
            <v>59451511050</v>
          </cell>
          <cell r="G458"/>
          <cell r="H458" t="str">
            <v>Дверь шахты Fermator 40/10 2SO-900-2000L-E30-RAL7032</v>
          </cell>
          <cell r="I458" t="str">
            <v>Landing door Fermator 40/10 2SO-900-2000L-E30-RAL7032</v>
          </cell>
          <cell r="J458" t="str">
            <v>шт</v>
          </cell>
          <cell r="K458">
            <v>13</v>
          </cell>
          <cell r="L458"/>
          <cell r="M458" t="str">
            <v>Order</v>
          </cell>
          <cell r="N458" t="str">
            <v>Poland</v>
          </cell>
          <cell r="O458" t="str">
            <v>Enginova</v>
          </cell>
          <cell r="P458" t="str">
            <v>5-8 weeks</v>
          </cell>
          <cell r="Q458"/>
          <cell r="R458"/>
        </row>
        <row r="459">
          <cell r="B459">
            <v>453</v>
          </cell>
          <cell r="C459">
            <v>1</v>
          </cell>
          <cell r="D459" t="str">
            <v>Door</v>
          </cell>
          <cell r="E459" t="str">
            <v>ОСП0007989</v>
          </cell>
          <cell r="F459">
            <v>59451511051</v>
          </cell>
          <cell r="G459"/>
          <cell r="H459" t="str">
            <v>Дверь шахты Fermator 40/10 2SO-900-2000L-E30-SS</v>
          </cell>
          <cell r="I459" t="str">
            <v>Landing door Fermator 40/10 2SO-900-2000L-E30-SS</v>
          </cell>
          <cell r="J459" t="str">
            <v>шт</v>
          </cell>
          <cell r="K459">
            <v>13</v>
          </cell>
          <cell r="L459"/>
          <cell r="M459" t="str">
            <v>Order</v>
          </cell>
          <cell r="N459" t="str">
            <v>Poland</v>
          </cell>
          <cell r="O459" t="str">
            <v>Enginova</v>
          </cell>
          <cell r="P459" t="str">
            <v>5-8 weeks</v>
          </cell>
          <cell r="Q459"/>
          <cell r="R459"/>
        </row>
        <row r="460">
          <cell r="B460">
            <v>454</v>
          </cell>
          <cell r="C460">
            <v>1</v>
          </cell>
          <cell r="D460" t="str">
            <v>Door</v>
          </cell>
          <cell r="E460" t="str">
            <v>ОСП0007990</v>
          </cell>
          <cell r="F460">
            <v>59451511052</v>
          </cell>
          <cell r="G460"/>
          <cell r="H460" t="str">
            <v>Дверь шахты Fermator 40/10 2SO-900-2000L-EI60-RAL7032</v>
          </cell>
          <cell r="I460" t="str">
            <v>Landing door Fermator 40/10 2SO-900-2000L-EI60-RAL7032</v>
          </cell>
          <cell r="J460" t="str">
            <v>шт</v>
          </cell>
          <cell r="K460">
            <v>13</v>
          </cell>
          <cell r="L460"/>
          <cell r="M460" t="str">
            <v>Order</v>
          </cell>
          <cell r="N460" t="str">
            <v>Poland</v>
          </cell>
          <cell r="O460" t="str">
            <v>Enginova</v>
          </cell>
          <cell r="P460" t="str">
            <v>5-8 weeks</v>
          </cell>
          <cell r="Q460"/>
          <cell r="R460"/>
        </row>
        <row r="461">
          <cell r="B461">
            <v>455</v>
          </cell>
          <cell r="C461">
            <v>1</v>
          </cell>
          <cell r="D461" t="str">
            <v>Door</v>
          </cell>
          <cell r="E461" t="str">
            <v>ОСП0007991</v>
          </cell>
          <cell r="F461">
            <v>59451511053</v>
          </cell>
          <cell r="G461"/>
          <cell r="H461" t="str">
            <v>Дверь шахты Fermator 40/10 2SO-900-2000L-EI60-SS</v>
          </cell>
          <cell r="I461" t="str">
            <v>Landing door Fermator 40/10 2SO-900-2000L-EI60-SS</v>
          </cell>
          <cell r="J461" t="str">
            <v>шт</v>
          </cell>
          <cell r="K461">
            <v>13</v>
          </cell>
          <cell r="L461"/>
          <cell r="M461" t="str">
            <v>Order</v>
          </cell>
          <cell r="N461" t="str">
            <v>Poland</v>
          </cell>
          <cell r="O461" t="str">
            <v>Enginova</v>
          </cell>
          <cell r="P461" t="str">
            <v>5-8 weeks</v>
          </cell>
          <cell r="Q461"/>
          <cell r="R461"/>
        </row>
        <row r="462">
          <cell r="B462">
            <v>456</v>
          </cell>
          <cell r="C462">
            <v>1</v>
          </cell>
          <cell r="D462" t="str">
            <v>Door</v>
          </cell>
          <cell r="E462" t="str">
            <v>ОСП0007992</v>
          </cell>
          <cell r="F462">
            <v>59451511054</v>
          </cell>
          <cell r="G462"/>
          <cell r="H462" t="str">
            <v>Дверь шахты Fermator 40/10 2SO-900-2000R-E30-RAL7032</v>
          </cell>
          <cell r="I462" t="str">
            <v>Landing door Fermator 40/10 2SO-900-2000R-E30-RAL7032</v>
          </cell>
          <cell r="J462" t="str">
            <v>шт</v>
          </cell>
          <cell r="K462">
            <v>13</v>
          </cell>
          <cell r="L462"/>
          <cell r="M462" t="str">
            <v>Order</v>
          </cell>
          <cell r="N462" t="str">
            <v>Poland</v>
          </cell>
          <cell r="O462" t="str">
            <v>Enginova</v>
          </cell>
          <cell r="P462" t="str">
            <v>5-8 weeks</v>
          </cell>
          <cell r="Q462"/>
          <cell r="R462"/>
        </row>
        <row r="463">
          <cell r="B463">
            <v>457</v>
          </cell>
          <cell r="C463">
            <v>1</v>
          </cell>
          <cell r="D463" t="str">
            <v>Door</v>
          </cell>
          <cell r="E463" t="str">
            <v>ОСП0007993</v>
          </cell>
          <cell r="F463">
            <v>59451511055</v>
          </cell>
          <cell r="G463"/>
          <cell r="H463" t="str">
            <v>Дверь шахты Fermator 40/10 2SO-900-2000R-E30-SS</v>
          </cell>
          <cell r="I463" t="str">
            <v>Landing door Fermator 40/10 2SO-900-2000R-E30-SS</v>
          </cell>
          <cell r="J463" t="str">
            <v>шт</v>
          </cell>
          <cell r="K463">
            <v>13</v>
          </cell>
          <cell r="L463"/>
          <cell r="M463" t="str">
            <v>Order</v>
          </cell>
          <cell r="N463" t="str">
            <v>Poland</v>
          </cell>
          <cell r="O463" t="str">
            <v>Enginova</v>
          </cell>
          <cell r="P463" t="str">
            <v>5-8 weeks</v>
          </cell>
          <cell r="Q463"/>
          <cell r="R463"/>
        </row>
        <row r="464">
          <cell r="B464">
            <v>458</v>
          </cell>
          <cell r="C464">
            <v>1</v>
          </cell>
          <cell r="D464" t="str">
            <v>Door</v>
          </cell>
          <cell r="E464" t="str">
            <v>ОСП0007994</v>
          </cell>
          <cell r="F464">
            <v>59451511056</v>
          </cell>
          <cell r="G464"/>
          <cell r="H464" t="str">
            <v>Дверь шахты Fermator 40/10 2SO-900-2000R-EI60-RAL7032</v>
          </cell>
          <cell r="I464" t="str">
            <v>Landing door Fermator 40/10 2SO-900-2000R-EI60-RAL7032</v>
          </cell>
          <cell r="J464" t="str">
            <v>шт</v>
          </cell>
          <cell r="K464">
            <v>13</v>
          </cell>
          <cell r="L464"/>
          <cell r="M464" t="str">
            <v>Order</v>
          </cell>
          <cell r="N464" t="str">
            <v>Poland</v>
          </cell>
          <cell r="O464" t="str">
            <v>Enginova</v>
          </cell>
          <cell r="P464" t="str">
            <v>5-8 weeks</v>
          </cell>
          <cell r="Q464"/>
          <cell r="R464"/>
        </row>
        <row r="465">
          <cell r="B465">
            <v>459</v>
          </cell>
          <cell r="C465">
            <v>1</v>
          </cell>
          <cell r="D465" t="str">
            <v>Door</v>
          </cell>
          <cell r="E465" t="str">
            <v>ОСП0007995</v>
          </cell>
          <cell r="F465">
            <v>59451511057</v>
          </cell>
          <cell r="G465"/>
          <cell r="H465" t="str">
            <v>Дверь шахты Fermator 40/10 2SO-900-2000R-EI60-SS</v>
          </cell>
          <cell r="I465" t="str">
            <v>Landing door Fermator 40/10 2SO-900-2000R-EI60-SS</v>
          </cell>
          <cell r="J465" t="str">
            <v>шт</v>
          </cell>
          <cell r="K465">
            <v>13</v>
          </cell>
          <cell r="L465"/>
          <cell r="M465" t="str">
            <v>Order</v>
          </cell>
          <cell r="N465" t="str">
            <v>Poland</v>
          </cell>
          <cell r="O465" t="str">
            <v>Enginova</v>
          </cell>
          <cell r="P465" t="str">
            <v>5-8 weeks</v>
          </cell>
          <cell r="Q465"/>
          <cell r="R465"/>
        </row>
        <row r="466">
          <cell r="B466">
            <v>460</v>
          </cell>
          <cell r="C466">
            <v>1</v>
          </cell>
          <cell r="D466" t="str">
            <v>Door</v>
          </cell>
          <cell r="E466" t="str">
            <v>ОСП0008668</v>
          </cell>
          <cell r="F466">
            <v>59451511071</v>
          </cell>
          <cell r="G466"/>
          <cell r="H466" t="str">
            <v>Дверь шахты Fermator 40/10 2SO-700-2000L-E30-RAL7032</v>
          </cell>
          <cell r="I466" t="str">
            <v>Landing door Fermator 40/10 2SO-700-2000L-E30-RAL7032</v>
          </cell>
          <cell r="J466" t="str">
            <v>шт</v>
          </cell>
          <cell r="K466">
            <v>13</v>
          </cell>
          <cell r="L466"/>
          <cell r="M466" t="str">
            <v>Order</v>
          </cell>
          <cell r="N466" t="str">
            <v>Poland</v>
          </cell>
          <cell r="O466" t="str">
            <v>Enginova</v>
          </cell>
          <cell r="P466" t="str">
            <v>5-8 weeks</v>
          </cell>
          <cell r="Q466"/>
          <cell r="R466"/>
        </row>
        <row r="467">
          <cell r="B467">
            <v>461</v>
          </cell>
          <cell r="C467">
            <v>1</v>
          </cell>
          <cell r="D467" t="str">
            <v>Door</v>
          </cell>
          <cell r="E467" t="str">
            <v>ОСП0008669</v>
          </cell>
          <cell r="F467">
            <v>59451511072</v>
          </cell>
          <cell r="G467"/>
          <cell r="H467" t="str">
            <v>Дверь шахты Fermator 40/10 2SO-700-2000L-EI60-RAL7032</v>
          </cell>
          <cell r="I467" t="str">
            <v>Landing door Fermator 40/10 2SO-700-2000L-EI60-RAL7032</v>
          </cell>
          <cell r="J467" t="str">
            <v>шт</v>
          </cell>
          <cell r="K467">
            <v>13</v>
          </cell>
          <cell r="L467"/>
          <cell r="M467" t="str">
            <v>Order</v>
          </cell>
          <cell r="N467" t="str">
            <v>Poland</v>
          </cell>
          <cell r="O467" t="str">
            <v>Enginova</v>
          </cell>
          <cell r="P467" t="str">
            <v>5-8 weeks</v>
          </cell>
          <cell r="Q467"/>
          <cell r="R467"/>
        </row>
        <row r="468">
          <cell r="B468">
            <v>462</v>
          </cell>
          <cell r="C468">
            <v>1</v>
          </cell>
          <cell r="D468" t="str">
            <v>Door</v>
          </cell>
          <cell r="E468" t="str">
            <v>ОСП0008671</v>
          </cell>
          <cell r="F468">
            <v>59451511074</v>
          </cell>
          <cell r="G468"/>
          <cell r="H468" t="str">
            <v>Дверь шахты Fermator 40/10 2SO-700-2000L-E30-SS</v>
          </cell>
          <cell r="I468" t="str">
            <v>Landing door Fermator 40/10 2SO-700-2000L-E30-SS</v>
          </cell>
          <cell r="J468" t="str">
            <v>шт</v>
          </cell>
          <cell r="K468">
            <v>13</v>
          </cell>
          <cell r="L468"/>
          <cell r="M468" t="str">
            <v>Order</v>
          </cell>
          <cell r="N468" t="str">
            <v>Poland</v>
          </cell>
          <cell r="O468" t="str">
            <v>Enginova</v>
          </cell>
          <cell r="P468" t="str">
            <v>5-8 weeks</v>
          </cell>
          <cell r="Q468"/>
          <cell r="R468"/>
        </row>
        <row r="469">
          <cell r="B469">
            <v>463</v>
          </cell>
          <cell r="C469">
            <v>1</v>
          </cell>
          <cell r="D469" t="str">
            <v>Door</v>
          </cell>
          <cell r="E469" t="str">
            <v>ОСП0008672</v>
          </cell>
          <cell r="F469">
            <v>59451511075</v>
          </cell>
          <cell r="G469"/>
          <cell r="H469" t="str">
            <v>Дверь шахты Fermator 40/10 2SO-700-2000L-EI60-SS</v>
          </cell>
          <cell r="I469" t="str">
            <v>Landing door Fermator 40/10 2SO-700-2000L-EI60-SS</v>
          </cell>
          <cell r="J469" t="str">
            <v>шт</v>
          </cell>
          <cell r="K469">
            <v>13</v>
          </cell>
          <cell r="L469"/>
          <cell r="M469" t="str">
            <v>Order</v>
          </cell>
          <cell r="N469" t="str">
            <v>Poland</v>
          </cell>
          <cell r="O469" t="str">
            <v>Enginova</v>
          </cell>
          <cell r="P469" t="str">
            <v>5-8 weeks</v>
          </cell>
          <cell r="Q469"/>
          <cell r="R469"/>
        </row>
        <row r="470">
          <cell r="B470">
            <v>464</v>
          </cell>
          <cell r="C470">
            <v>1</v>
          </cell>
          <cell r="D470" t="str">
            <v>Door</v>
          </cell>
          <cell r="E470" t="str">
            <v>ОСП0008674</v>
          </cell>
          <cell r="F470">
            <v>59451511077</v>
          </cell>
          <cell r="G470"/>
          <cell r="H470" t="str">
            <v>Дверь шахты Fermator 40/10 2SO-700-2000R-E30-RAL7032</v>
          </cell>
          <cell r="I470" t="str">
            <v>Landing door Fermator 40/10 2SO-700-2000R-E30-RAL7032</v>
          </cell>
          <cell r="J470" t="str">
            <v>шт</v>
          </cell>
          <cell r="K470">
            <v>13</v>
          </cell>
          <cell r="L470"/>
          <cell r="M470" t="str">
            <v>Order</v>
          </cell>
          <cell r="N470" t="str">
            <v>Poland</v>
          </cell>
          <cell r="O470" t="str">
            <v>Enginova</v>
          </cell>
          <cell r="P470" t="str">
            <v>5-8 weeks</v>
          </cell>
          <cell r="Q470"/>
          <cell r="R470"/>
        </row>
        <row r="471">
          <cell r="B471">
            <v>465</v>
          </cell>
          <cell r="C471">
            <v>1</v>
          </cell>
          <cell r="D471" t="str">
            <v>Door</v>
          </cell>
          <cell r="E471" t="str">
            <v>ОСП0008675</v>
          </cell>
          <cell r="F471">
            <v>59451511078</v>
          </cell>
          <cell r="G471"/>
          <cell r="H471" t="str">
            <v>Дверь шахты Fermator 40/10 2SO-700-2000R-EI60-RAL7032</v>
          </cell>
          <cell r="I471" t="str">
            <v>Landing door Fermator 40/10 2SO-700-2000R-EI60-RAL7032</v>
          </cell>
          <cell r="J471" t="str">
            <v>шт</v>
          </cell>
          <cell r="K471">
            <v>13</v>
          </cell>
          <cell r="L471"/>
          <cell r="M471" t="str">
            <v>Order</v>
          </cell>
          <cell r="N471" t="str">
            <v>Poland</v>
          </cell>
          <cell r="O471" t="str">
            <v>Enginova</v>
          </cell>
          <cell r="P471" t="str">
            <v>5-8 weeks</v>
          </cell>
          <cell r="Q471"/>
          <cell r="R471"/>
        </row>
        <row r="472">
          <cell r="B472">
            <v>466</v>
          </cell>
          <cell r="C472">
            <v>1</v>
          </cell>
          <cell r="D472" t="str">
            <v>Door</v>
          </cell>
          <cell r="E472" t="str">
            <v>ОСП0008677</v>
          </cell>
          <cell r="F472">
            <v>59451511080</v>
          </cell>
          <cell r="G472"/>
          <cell r="H472" t="str">
            <v>Дверь шахты Fermator 40/10 2SO-700-2000R-E30-SS</v>
          </cell>
          <cell r="I472" t="str">
            <v>Landing door Fermator 40/10 2SO-700-2000R-E30-SS</v>
          </cell>
          <cell r="J472" t="str">
            <v>шт</v>
          </cell>
          <cell r="K472">
            <v>13</v>
          </cell>
          <cell r="L472"/>
          <cell r="M472" t="str">
            <v>Order</v>
          </cell>
          <cell r="N472" t="str">
            <v>Poland</v>
          </cell>
          <cell r="O472" t="str">
            <v>Enginova</v>
          </cell>
          <cell r="P472" t="str">
            <v>5-8 weeks</v>
          </cell>
          <cell r="Q472"/>
          <cell r="R472"/>
        </row>
        <row r="473">
          <cell r="B473">
            <v>467</v>
          </cell>
          <cell r="C473">
            <v>1</v>
          </cell>
          <cell r="D473" t="str">
            <v>Door</v>
          </cell>
          <cell r="E473" t="str">
            <v>ОСП0008678</v>
          </cell>
          <cell r="F473">
            <v>59451511081</v>
          </cell>
          <cell r="G473"/>
          <cell r="H473" t="str">
            <v>Дверь шахты Fermator 40/10 2SO-700-2000R-EI60-SS</v>
          </cell>
          <cell r="I473" t="str">
            <v>Landing door Fermator 40/10 2SO-700-2000R-EI60-SS</v>
          </cell>
          <cell r="J473" t="str">
            <v>шт</v>
          </cell>
          <cell r="K473">
            <v>13</v>
          </cell>
          <cell r="L473"/>
          <cell r="M473" t="str">
            <v>Order</v>
          </cell>
          <cell r="N473" t="str">
            <v>Poland</v>
          </cell>
          <cell r="O473" t="str">
            <v>Enginova</v>
          </cell>
          <cell r="P473" t="str">
            <v>5-8 weeks</v>
          </cell>
          <cell r="Q473"/>
          <cell r="R473"/>
        </row>
        <row r="474">
          <cell r="B474">
            <v>468</v>
          </cell>
          <cell r="C474">
            <v>1</v>
          </cell>
          <cell r="D474" t="str">
            <v>Door</v>
          </cell>
          <cell r="E474" t="str">
            <v>ОСП0009986</v>
          </cell>
          <cell r="F474">
            <v>59451512001</v>
          </cell>
          <cell r="G474" t="str">
            <v>URC.VF00C0000</v>
          </cell>
          <cell r="H474" t="str">
            <v>Устройство проверки натяжения ремня привода ДК Fermator</v>
          </cell>
          <cell r="I474" t="str">
            <v>Belt calibration tool</v>
          </cell>
          <cell r="J474" t="str">
            <v>шт</v>
          </cell>
          <cell r="K474">
            <v>14</v>
          </cell>
          <cell r="L474"/>
          <cell r="M474" t="str">
            <v>Stock</v>
          </cell>
          <cell r="N474" t="str">
            <v>Poland</v>
          </cell>
          <cell r="O474" t="str">
            <v>Enginova</v>
          </cell>
          <cell r="P474" t="str">
            <v>5-8 weeks</v>
          </cell>
          <cell r="Q474"/>
          <cell r="R474"/>
        </row>
        <row r="475">
          <cell r="B475">
            <v>469</v>
          </cell>
          <cell r="C475">
            <v>1</v>
          </cell>
          <cell r="D475" t="str">
            <v>Door</v>
          </cell>
          <cell r="E475" t="str">
            <v>ОСП0010470</v>
          </cell>
          <cell r="F475">
            <v>46451511011</v>
          </cell>
          <cell r="G475"/>
          <cell r="H475" t="str">
            <v>Дверь шахты ТЛДШ 20.14 2СO-700-2000С-E30-RAL7032</v>
          </cell>
          <cell r="I475" t="str">
            <v>Landing door ТЛДШ 20.14 2СO-700-2000С-E30-RAL7032</v>
          </cell>
          <cell r="J475" t="str">
            <v>шт</v>
          </cell>
          <cell r="K475">
            <v>13</v>
          </cell>
          <cell r="L475"/>
          <cell r="M475" t="str">
            <v>Order</v>
          </cell>
          <cell r="N475" t="str">
            <v>Russia</v>
          </cell>
          <cell r="O475" t="str">
            <v>Тула Лифт</v>
          </cell>
          <cell r="P475" t="str">
            <v>8 weeks</v>
          </cell>
          <cell r="Q475"/>
          <cell r="R475"/>
        </row>
        <row r="476">
          <cell r="B476">
            <v>470</v>
          </cell>
          <cell r="C476">
            <v>1</v>
          </cell>
          <cell r="D476" t="str">
            <v>Door</v>
          </cell>
          <cell r="E476" t="str">
            <v>ОСП0010471</v>
          </cell>
          <cell r="F476">
            <v>46451511014</v>
          </cell>
          <cell r="G476"/>
          <cell r="H476" t="str">
            <v>Дверь шахты ТЛДШ 20.14 2СO-700-2000С-E30-SS</v>
          </cell>
          <cell r="I476" t="str">
            <v>Landing door ТЛДШ 20.14 2СO-700-2000С-E30-SS</v>
          </cell>
          <cell r="J476" t="str">
            <v>шт</v>
          </cell>
          <cell r="K476">
            <v>13</v>
          </cell>
          <cell r="L476"/>
          <cell r="M476" t="str">
            <v>Order</v>
          </cell>
          <cell r="N476" t="str">
            <v>Russia</v>
          </cell>
          <cell r="O476" t="str">
            <v>Тула Лифт</v>
          </cell>
          <cell r="P476" t="str">
            <v>8 weeks</v>
          </cell>
          <cell r="Q476"/>
          <cell r="R476"/>
        </row>
        <row r="477">
          <cell r="B477">
            <v>471</v>
          </cell>
          <cell r="C477">
            <v>1</v>
          </cell>
          <cell r="D477" t="str">
            <v>Door</v>
          </cell>
          <cell r="E477" t="str">
            <v>ОСП0010472</v>
          </cell>
          <cell r="F477">
            <v>46451511021</v>
          </cell>
          <cell r="G477"/>
          <cell r="H477" t="str">
            <v>Дверь шахты ТЛДШ 20.14 2SO-1200-2000L-E30-RAL7032</v>
          </cell>
          <cell r="I477" t="str">
            <v>Landing door ТЛДШ 20.14 2SO-1200-2000L-E30-RAL7032</v>
          </cell>
          <cell r="J477" t="str">
            <v>шт</v>
          </cell>
          <cell r="K477">
            <v>13</v>
          </cell>
          <cell r="L477"/>
          <cell r="M477" t="str">
            <v>Order</v>
          </cell>
          <cell r="N477" t="str">
            <v>Russia</v>
          </cell>
          <cell r="O477" t="str">
            <v>Тула Лифт</v>
          </cell>
          <cell r="P477" t="str">
            <v>8 weeks</v>
          </cell>
          <cell r="Q477"/>
          <cell r="R477"/>
        </row>
        <row r="478">
          <cell r="B478">
            <v>472</v>
          </cell>
          <cell r="C478">
            <v>1</v>
          </cell>
          <cell r="D478" t="str">
            <v>Door</v>
          </cell>
          <cell r="E478" t="str">
            <v>ОСП0010473</v>
          </cell>
          <cell r="F478">
            <v>46451511024</v>
          </cell>
          <cell r="G478"/>
          <cell r="H478" t="str">
            <v>Дверь шахты ТЛДШ 20.14 2SO-1200-2000L-E30-SS</v>
          </cell>
          <cell r="I478" t="str">
            <v>Landing door ТЛДШ 20.14 2SO-1200-2000L-E30-SS</v>
          </cell>
          <cell r="J478" t="str">
            <v>шт</v>
          </cell>
          <cell r="K478">
            <v>13</v>
          </cell>
          <cell r="L478"/>
          <cell r="M478" t="str">
            <v>Order</v>
          </cell>
          <cell r="N478" t="str">
            <v>Russia</v>
          </cell>
          <cell r="O478" t="str">
            <v>Тула Лифт</v>
          </cell>
          <cell r="P478" t="str">
            <v>8 weeks</v>
          </cell>
          <cell r="Q478"/>
          <cell r="R478"/>
        </row>
        <row r="479">
          <cell r="B479">
            <v>473</v>
          </cell>
          <cell r="C479">
            <v>1</v>
          </cell>
          <cell r="D479" t="str">
            <v>Door</v>
          </cell>
          <cell r="E479" t="str">
            <v>ОСП0010530</v>
          </cell>
          <cell r="F479">
            <v>46451511031</v>
          </cell>
          <cell r="G479"/>
          <cell r="H479" t="str">
            <v>Дверь шахты ТЛДШ 20.14, 2SO-1200-2000R-EI60-SS</v>
          </cell>
          <cell r="I479" t="str">
            <v>Landing door ТЛДШ 20.14, 2SO-1200-2000R-EI60-SS</v>
          </cell>
          <cell r="J479" t="str">
            <v>шт</v>
          </cell>
          <cell r="K479">
            <v>13</v>
          </cell>
          <cell r="L479"/>
          <cell r="M479" t="str">
            <v>Order</v>
          </cell>
          <cell r="N479" t="str">
            <v>Russia</v>
          </cell>
          <cell r="O479" t="str">
            <v>Тула Лифт</v>
          </cell>
          <cell r="P479" t="str">
            <v>8 weeks</v>
          </cell>
          <cell r="Q479"/>
          <cell r="R479"/>
        </row>
        <row r="480">
          <cell r="B480">
            <v>474</v>
          </cell>
          <cell r="C480">
            <v>1</v>
          </cell>
          <cell r="D480" t="str">
            <v>Door</v>
          </cell>
          <cell r="E480" t="str">
            <v>ОСП0010529</v>
          </cell>
          <cell r="F480">
            <v>46451511057</v>
          </cell>
          <cell r="G480"/>
          <cell r="H480" t="str">
            <v>Дверь шахты ТЛДШ 20.14, 2SO-900-2000R-EI60-SS</v>
          </cell>
          <cell r="I480" t="str">
            <v>Landing door ТЛДШ 20.14, 2SO-900-2000R-EI60-SS</v>
          </cell>
          <cell r="J480" t="str">
            <v>шт</v>
          </cell>
          <cell r="K480">
            <v>13</v>
          </cell>
          <cell r="L480"/>
          <cell r="M480" t="str">
            <v>Order</v>
          </cell>
          <cell r="N480" t="str">
            <v>Russia</v>
          </cell>
          <cell r="O480" t="str">
            <v>Тула Лифт</v>
          </cell>
          <cell r="P480" t="str">
            <v>8 weeks</v>
          </cell>
          <cell r="Q480"/>
          <cell r="R480"/>
        </row>
        <row r="481">
          <cell r="B481">
            <v>475</v>
          </cell>
          <cell r="C481">
            <v>1</v>
          </cell>
          <cell r="D481" t="str">
            <v>PSG</v>
          </cell>
          <cell r="E481" t="str">
            <v>ОСП0007300</v>
          </cell>
          <cell r="F481">
            <v>46451519010</v>
          </cell>
          <cell r="G481"/>
          <cell r="H481" t="str">
            <v>Тяга ловителей</v>
          </cell>
          <cell r="I481" t="str">
            <v>PSG Wittur BSG-25P – OSG rope lever</v>
          </cell>
          <cell r="J481" t="str">
            <v>шт</v>
          </cell>
          <cell r="K481">
            <v>11</v>
          </cell>
          <cell r="L481"/>
          <cell r="M481" t="str">
            <v>Stock</v>
          </cell>
          <cell r="N481" t="str">
            <v>Russia</v>
          </cell>
          <cell r="O481" t="str">
            <v>Эталон</v>
          </cell>
          <cell r="P481" t="str">
            <v>4 weeks</v>
          </cell>
          <cell r="Q481"/>
          <cell r="R481"/>
        </row>
        <row r="482">
          <cell r="B482">
            <v>476</v>
          </cell>
          <cell r="C482">
            <v>1</v>
          </cell>
          <cell r="D482" t="str">
            <v>PSG</v>
          </cell>
          <cell r="E482" t="str">
            <v>ОСП0009234</v>
          </cell>
          <cell r="F482">
            <v>90451519014</v>
          </cell>
          <cell r="G482"/>
          <cell r="H482" t="str">
            <v>Ловители плавного торможения BSG-25P, k = 9 мм, G-03 (без корпуса)</v>
          </cell>
          <cell r="I482" t="str">
            <v>Progressive safety gear BSG-25P, k = 9 mm, G-03 (w/o housing)</v>
          </cell>
          <cell r="J482" t="str">
            <v>компл</v>
          </cell>
          <cell r="K482">
            <v>11</v>
          </cell>
          <cell r="L482"/>
          <cell r="M482" t="str">
            <v>Order</v>
          </cell>
          <cell r="N482" t="str">
            <v>Germany</v>
          </cell>
          <cell r="O482" t="str">
            <v>Wittur</v>
          </cell>
          <cell r="P482" t="str">
            <v>6-7 weeks</v>
          </cell>
          <cell r="Q482"/>
          <cell r="R482"/>
        </row>
        <row r="483">
          <cell r="B483">
            <v>477</v>
          </cell>
          <cell r="C483">
            <v>1</v>
          </cell>
          <cell r="D483" t="str">
            <v>PSG</v>
          </cell>
          <cell r="E483" t="str">
            <v>ОСП0009115</v>
          </cell>
          <cell r="F483">
            <v>90451519012</v>
          </cell>
          <cell r="G483"/>
          <cell r="H483" t="str">
            <v>Ловители плавного торможения BSG-25P, k = 9 мм, G-04 (без корпуса)</v>
          </cell>
          <cell r="I483" t="str">
            <v>Progressive safety gear BSG-25P, k = 9 mm, G-04 (w/o housing)</v>
          </cell>
          <cell r="J483" t="str">
            <v>компл</v>
          </cell>
          <cell r="K483">
            <v>11</v>
          </cell>
          <cell r="L483"/>
          <cell r="M483" t="str">
            <v>Order</v>
          </cell>
          <cell r="N483" t="str">
            <v>Germany</v>
          </cell>
          <cell r="O483" t="str">
            <v>Wittur</v>
          </cell>
          <cell r="P483" t="str">
            <v>6-7 weeks</v>
          </cell>
          <cell r="Q483"/>
          <cell r="R483"/>
        </row>
        <row r="484">
          <cell r="B484">
            <v>478</v>
          </cell>
          <cell r="C484">
            <v>1</v>
          </cell>
          <cell r="D484" t="str">
            <v>PSG</v>
          </cell>
          <cell r="E484" t="str">
            <v>ОСП0009117</v>
          </cell>
          <cell r="F484">
            <v>90451519013</v>
          </cell>
          <cell r="G484"/>
          <cell r="H484" t="str">
            <v>Ловители плавного торможения BSG-25P, k = 9 мм, G-05 (без корпуса)</v>
          </cell>
          <cell r="I484" t="str">
            <v>Progressive safety gear BSG-25P, k = 9 mm, G-05 (w/o housing)</v>
          </cell>
          <cell r="J484" t="str">
            <v>компл</v>
          </cell>
          <cell r="K484">
            <v>11</v>
          </cell>
          <cell r="L484"/>
          <cell r="M484" t="str">
            <v>Order</v>
          </cell>
          <cell r="N484" t="str">
            <v>Germany</v>
          </cell>
          <cell r="O484" t="str">
            <v>Wittur</v>
          </cell>
          <cell r="P484" t="str">
            <v>6-7 weeks</v>
          </cell>
          <cell r="Q484"/>
          <cell r="R484"/>
        </row>
        <row r="485">
          <cell r="B485">
            <v>479</v>
          </cell>
          <cell r="C485">
            <v>1</v>
          </cell>
          <cell r="D485" t="str">
            <v>PSG</v>
          </cell>
          <cell r="E485" t="str">
            <v>ОСП0009251</v>
          </cell>
          <cell r="F485">
            <v>90451519015</v>
          </cell>
          <cell r="G485"/>
          <cell r="H485" t="str">
            <v>Ловители плавного торможения BSG-25P, k = 9 мм, G-06 (без корпуса)</v>
          </cell>
          <cell r="I485" t="str">
            <v>Progressive safety gear BSG-25P, k = 9 mm, G-06 (w/o housing)</v>
          </cell>
          <cell r="J485" t="str">
            <v>компл</v>
          </cell>
          <cell r="K485">
            <v>11</v>
          </cell>
          <cell r="L485"/>
          <cell r="M485" t="str">
            <v>Order</v>
          </cell>
          <cell r="N485" t="str">
            <v>Germany</v>
          </cell>
          <cell r="O485" t="str">
            <v>Wittur</v>
          </cell>
          <cell r="P485" t="str">
            <v>6-7 weeks</v>
          </cell>
          <cell r="Q485"/>
          <cell r="R485"/>
        </row>
        <row r="486">
          <cell r="B486">
            <v>480</v>
          </cell>
          <cell r="C486">
            <v>1</v>
          </cell>
          <cell r="D486" t="str">
            <v>PSG</v>
          </cell>
          <cell r="E486" t="str">
            <v>ОСП0009252</v>
          </cell>
          <cell r="F486">
            <v>90451519016</v>
          </cell>
          <cell r="G486"/>
          <cell r="H486" t="str">
            <v>Ловители плавного торможения BSG-25P, k = 9 мм, G-07 (без корпуса)</v>
          </cell>
          <cell r="I486" t="str">
            <v>Progressive safety gear BSG-25P, k = 9 mm, G-07 (w/o housing)</v>
          </cell>
          <cell r="J486" t="str">
            <v>компл</v>
          </cell>
          <cell r="K486">
            <v>11</v>
          </cell>
          <cell r="L486"/>
          <cell r="M486" t="str">
            <v>Order</v>
          </cell>
          <cell r="N486" t="str">
            <v>Germany</v>
          </cell>
          <cell r="O486" t="str">
            <v>Wittur</v>
          </cell>
          <cell r="P486" t="str">
            <v>6-7 weeks</v>
          </cell>
          <cell r="Q486"/>
          <cell r="R486"/>
        </row>
        <row r="487">
          <cell r="B487">
            <v>481</v>
          </cell>
          <cell r="C487">
            <v>1</v>
          </cell>
          <cell r="D487" t="str">
            <v>PSG</v>
          </cell>
          <cell r="E487" t="str">
            <v>ОСП0008597</v>
          </cell>
          <cell r="F487">
            <v>90451519022</v>
          </cell>
          <cell r="G487"/>
          <cell r="H487" t="str">
            <v>Ловители плавного торможения BSG-25P, k = 16 мм, G-08 (без корпуса)</v>
          </cell>
          <cell r="I487" t="str">
            <v>Progressive safety gear BSG-25P, k = 16 mm, G-08 (w/o housing)</v>
          </cell>
          <cell r="J487" t="str">
            <v>компл</v>
          </cell>
          <cell r="K487">
            <v>11</v>
          </cell>
          <cell r="L487"/>
          <cell r="M487" t="str">
            <v>Order</v>
          </cell>
          <cell r="N487" t="str">
            <v>Germany</v>
          </cell>
          <cell r="O487" t="str">
            <v>Wittur</v>
          </cell>
          <cell r="P487" t="str">
            <v>6-7 weeks</v>
          </cell>
          <cell r="Q487"/>
          <cell r="R487"/>
        </row>
        <row r="488">
          <cell r="B488">
            <v>482</v>
          </cell>
          <cell r="C488">
            <v>1</v>
          </cell>
          <cell r="D488" t="str">
            <v>PSG</v>
          </cell>
          <cell r="E488" t="str">
            <v>ОСП0009116</v>
          </cell>
          <cell r="F488">
            <v>90451519023</v>
          </cell>
          <cell r="G488"/>
          <cell r="H488" t="str">
            <v>Ловители плавного торможения BSG-25P, k = 16 мм, G-09 (без корпуса)</v>
          </cell>
          <cell r="I488" t="str">
            <v>Progressive safety gear BSG-25P, k = 16 mm, G-09 (w/o housing)</v>
          </cell>
          <cell r="J488" t="str">
            <v>компл</v>
          </cell>
          <cell r="K488">
            <v>11</v>
          </cell>
          <cell r="L488"/>
          <cell r="M488" t="str">
            <v>Order</v>
          </cell>
          <cell r="N488" t="str">
            <v>Germany</v>
          </cell>
          <cell r="O488" t="str">
            <v>Wittur</v>
          </cell>
          <cell r="P488" t="str">
            <v>6-7 weeks</v>
          </cell>
          <cell r="Q488"/>
          <cell r="R488"/>
        </row>
        <row r="489">
          <cell r="B489">
            <v>483</v>
          </cell>
          <cell r="C489">
            <v>1</v>
          </cell>
          <cell r="D489" t="str">
            <v>PSG</v>
          </cell>
          <cell r="E489" t="str">
            <v>ОСП0009799</v>
          </cell>
          <cell r="F489">
            <v>90451519027</v>
          </cell>
          <cell r="G489" t="str">
            <v>902553-G07 (WO housing)</v>
          </cell>
          <cell r="H489" t="str">
            <v>Ловители плавного торможения BSG-25P, k=9мм. G-07-T70 (без корпуса)</v>
          </cell>
          <cell r="I489" t="str">
            <v>PSG-M-wittur-BSG25P-902553-G07-T70</v>
          </cell>
          <cell r="J489" t="str">
            <v>компл</v>
          </cell>
          <cell r="K489">
            <v>11</v>
          </cell>
          <cell r="L489"/>
          <cell r="M489" t="str">
            <v>Order</v>
          </cell>
          <cell r="N489" t="str">
            <v>Germany</v>
          </cell>
          <cell r="O489" t="str">
            <v>Wittur</v>
          </cell>
          <cell r="P489" t="str">
            <v>6-7 weeks</v>
          </cell>
          <cell r="Q489"/>
          <cell r="R489"/>
        </row>
        <row r="490">
          <cell r="B490">
            <v>484</v>
          </cell>
          <cell r="C490">
            <v>1</v>
          </cell>
          <cell r="D490" t="str">
            <v>PSG</v>
          </cell>
          <cell r="E490" t="str">
            <v>ОСП0009761</v>
          </cell>
          <cell r="F490">
            <v>90451519026</v>
          </cell>
          <cell r="G490"/>
          <cell r="H490" t="str">
            <v>Ловители плавного торможения BSG-25P, k = 9 мм, G-08 (без корпуса)</v>
          </cell>
          <cell r="I490" t="str">
            <v>Progressive safety gear BSG-25P, k = 9 mm, G-08 (w/o housing)</v>
          </cell>
          <cell r="J490" t="str">
            <v>компл</v>
          </cell>
          <cell r="K490">
            <v>11</v>
          </cell>
          <cell r="L490"/>
          <cell r="M490" t="str">
            <v>Order</v>
          </cell>
          <cell r="N490" t="str">
            <v>Germany</v>
          </cell>
          <cell r="O490" t="str">
            <v>Wittur</v>
          </cell>
          <cell r="P490" t="str">
            <v>6-7 weeks</v>
          </cell>
          <cell r="Q490"/>
          <cell r="R490"/>
        </row>
        <row r="491">
          <cell r="B491">
            <v>485</v>
          </cell>
          <cell r="C491">
            <v>1</v>
          </cell>
          <cell r="D491" t="str">
            <v>PSG</v>
          </cell>
          <cell r="E491" t="str">
            <v>ОСП0009722</v>
          </cell>
          <cell r="F491">
            <v>90451519025</v>
          </cell>
          <cell r="G491"/>
          <cell r="H491" t="str">
            <v>Ловители плавного торможения BSG-25P, k = 16 мм, G-10 (без корпуса)</v>
          </cell>
          <cell r="I491" t="str">
            <v>Progressive safety gear BSG-25P, k = 16 mm, G-10 (w/o housing)</v>
          </cell>
          <cell r="J491" t="str">
            <v>компл</v>
          </cell>
          <cell r="K491">
            <v>11</v>
          </cell>
          <cell r="L491"/>
          <cell r="M491" t="str">
            <v>Order</v>
          </cell>
          <cell r="N491" t="str">
            <v>Germany</v>
          </cell>
          <cell r="O491" t="str">
            <v>Wittur</v>
          </cell>
          <cell r="P491" t="str">
            <v>6-7 weeks</v>
          </cell>
          <cell r="Q491"/>
          <cell r="R491"/>
        </row>
        <row r="492">
          <cell r="B492">
            <v>486</v>
          </cell>
          <cell r="C492">
            <v>1</v>
          </cell>
          <cell r="D492" t="str">
            <v>PSG</v>
          </cell>
          <cell r="E492" t="str">
            <v>ОСП0009183</v>
          </cell>
          <cell r="F492">
            <v>40451519110</v>
          </cell>
          <cell r="G492"/>
          <cell r="H492" t="str">
            <v>Ловитель противовеса PSG-6071 для кабины 400кг</v>
          </cell>
          <cell r="I492" t="str">
            <v>CWT PSG-6071 for 400 kg car</v>
          </cell>
          <cell r="J492" t="str">
            <v>компл</v>
          </cell>
          <cell r="K492">
            <v>11</v>
          </cell>
          <cell r="L492"/>
          <cell r="M492" t="str">
            <v>Order</v>
          </cell>
          <cell r="N492" t="str">
            <v>Germany</v>
          </cell>
          <cell r="O492" t="str">
            <v>tkAW</v>
          </cell>
          <cell r="P492" t="str">
            <v>12 weeks</v>
          </cell>
          <cell r="Q492"/>
          <cell r="R492"/>
        </row>
        <row r="493">
          <cell r="B493">
            <v>487</v>
          </cell>
          <cell r="C493">
            <v>1</v>
          </cell>
          <cell r="D493" t="str">
            <v>PSG</v>
          </cell>
          <cell r="E493" t="str">
            <v>ОСП0009184</v>
          </cell>
          <cell r="F493">
            <v>40451519120</v>
          </cell>
          <cell r="G493"/>
          <cell r="H493" t="str">
            <v>Ловитель противовеса PSG-6071 для кабины 1000кг</v>
          </cell>
          <cell r="I493" t="str">
            <v>CWT PSG-6071 for 1000 kg car</v>
          </cell>
          <cell r="J493" t="str">
            <v>компл</v>
          </cell>
          <cell r="K493">
            <v>11</v>
          </cell>
          <cell r="L493"/>
          <cell r="M493" t="str">
            <v>Order</v>
          </cell>
          <cell r="N493" t="str">
            <v>Germany</v>
          </cell>
          <cell r="O493" t="str">
            <v>tkAW</v>
          </cell>
          <cell r="P493" t="str">
            <v>12 weeks</v>
          </cell>
          <cell r="Q493"/>
          <cell r="R493"/>
        </row>
        <row r="494">
          <cell r="B494">
            <v>488</v>
          </cell>
          <cell r="C494">
            <v>1</v>
          </cell>
          <cell r="D494" t="str">
            <v>OSG system</v>
          </cell>
          <cell r="E494" t="str">
            <v>ОСП0006988</v>
          </cell>
          <cell r="F494">
            <v>80451505010</v>
          </cell>
          <cell r="G494" t="str">
            <v>8024200256/X</v>
          </cell>
          <cell r="H494" t="str">
            <v>Ограничитель скорости PFB LK250</v>
          </cell>
          <cell r="I494" t="str">
            <v>Overspeed governor (OSG) PFB LK250</v>
          </cell>
          <cell r="J494" t="str">
            <v>шт</v>
          </cell>
          <cell r="K494">
            <v>11</v>
          </cell>
          <cell r="L494"/>
          <cell r="M494" t="str">
            <v>Stock</v>
          </cell>
          <cell r="N494" t="str">
            <v>Italy</v>
          </cell>
          <cell r="O494" t="str">
            <v>PFB</v>
          </cell>
          <cell r="P494" t="str">
            <v>6 weeks</v>
          </cell>
          <cell r="Q494"/>
          <cell r="R494"/>
        </row>
        <row r="495">
          <cell r="B495">
            <v>489</v>
          </cell>
          <cell r="C495">
            <v>1</v>
          </cell>
          <cell r="D495" t="str">
            <v>OSG system</v>
          </cell>
          <cell r="E495" t="str">
            <v>ОСП0006989</v>
          </cell>
          <cell r="F495">
            <v>80451505020</v>
          </cell>
          <cell r="G495" t="str">
            <v>8024200315/X</v>
          </cell>
          <cell r="H495" t="str">
            <v>Ограничитель скорости PFB LK315</v>
          </cell>
          <cell r="I495" t="str">
            <v>Overspeed governor (OSG) PFB LK315</v>
          </cell>
          <cell r="J495" t="str">
            <v>шт</v>
          </cell>
          <cell r="K495">
            <v>11</v>
          </cell>
          <cell r="L495"/>
          <cell r="M495" t="str">
            <v>Stock</v>
          </cell>
          <cell r="N495" t="str">
            <v>Italy</v>
          </cell>
          <cell r="O495" t="str">
            <v>PFB</v>
          </cell>
          <cell r="P495" t="str">
            <v>6 weeks</v>
          </cell>
          <cell r="Q495"/>
          <cell r="R495"/>
        </row>
        <row r="496">
          <cell r="B496">
            <v>490</v>
          </cell>
          <cell r="C496">
            <v>1</v>
          </cell>
          <cell r="D496" t="str">
            <v>OSG system</v>
          </cell>
          <cell r="E496" t="str">
            <v>ОСП0006991</v>
          </cell>
          <cell r="F496">
            <v>80451505000</v>
          </cell>
          <cell r="G496" t="str">
            <v>8024225422</v>
          </cell>
          <cell r="H496" t="str">
            <v>Натяжное устройство PFB, D250 мм, тип R4/N</v>
          </cell>
          <cell r="I496" t="str">
            <v>PFB tensioning device, D250 mm, type R4/N</v>
          </cell>
          <cell r="J496" t="str">
            <v>шт</v>
          </cell>
          <cell r="K496">
            <v>11</v>
          </cell>
          <cell r="L496"/>
          <cell r="M496" t="str">
            <v>Stock</v>
          </cell>
          <cell r="N496" t="str">
            <v>Italy</v>
          </cell>
          <cell r="O496" t="str">
            <v>PFB</v>
          </cell>
          <cell r="P496" t="str">
            <v>6 weeks</v>
          </cell>
          <cell r="Q496"/>
          <cell r="R496"/>
        </row>
        <row r="497">
          <cell r="B497">
            <v>491</v>
          </cell>
          <cell r="C497">
            <v>1</v>
          </cell>
          <cell r="D497" t="str">
            <v>OSG system</v>
          </cell>
          <cell r="E497" t="str">
            <v>ОСП0010684</v>
          </cell>
          <cell r="F497">
            <v>46451505012</v>
          </cell>
          <cell r="G497" t="str">
            <v>60230009662_01</v>
          </cell>
          <cell r="H497" t="str">
            <v>AY Опора ограничителя скорости LK250, LK315, 6023</v>
          </cell>
          <cell r="I497" t="str">
            <v>AY OSG support LK250, LK315, 6023</v>
          </cell>
          <cell r="J497" t="str">
            <v>компл</v>
          </cell>
          <cell r="K497">
            <v>11</v>
          </cell>
          <cell r="L497" t="str">
            <v>Assembly</v>
          </cell>
          <cell r="M497" t="str">
            <v>Stock</v>
          </cell>
          <cell r="N497" t="str">
            <v>Russia</v>
          </cell>
          <cell r="O497" t="str">
            <v>Сервис-НГТ</v>
          </cell>
          <cell r="P497" t="str">
            <v>5 weeks</v>
          </cell>
          <cell r="Q497"/>
          <cell r="R497"/>
        </row>
        <row r="498">
          <cell r="B498">
            <v>492</v>
          </cell>
          <cell r="C498">
            <v>1</v>
          </cell>
          <cell r="D498" t="str">
            <v>OSG system</v>
          </cell>
          <cell r="E498" t="str">
            <v>ОСП0006703</v>
          </cell>
          <cell r="F498">
            <v>40451505011</v>
          </cell>
          <cell r="G498" t="str">
            <v>60230009662</v>
          </cell>
          <cell r="H498" t="str">
            <v>Опора ограничителя скорости LK250, LK315, 6023</v>
          </cell>
          <cell r="I498" t="str">
            <v>OSG support LK250, LK315, 6023</v>
          </cell>
          <cell r="J498" t="str">
            <v>шт</v>
          </cell>
          <cell r="K498"/>
          <cell r="L498"/>
          <cell r="M498" t="str">
            <v>Stock</v>
          </cell>
          <cell r="N498" t="str">
            <v>Russia</v>
          </cell>
          <cell r="O498" t="str">
            <v>Сервис-НГТ</v>
          </cell>
          <cell r="P498" t="str">
            <v>5 weeks</v>
          </cell>
          <cell r="Q498"/>
          <cell r="R498"/>
        </row>
        <row r="499">
          <cell r="B499">
            <v>493</v>
          </cell>
          <cell r="C499">
            <v>1</v>
          </cell>
          <cell r="D499" t="str">
            <v>OSG system</v>
          </cell>
          <cell r="E499" t="str">
            <v>ОСП0006702</v>
          </cell>
          <cell r="F499">
            <v>40451505020</v>
          </cell>
          <cell r="G499" t="str">
            <v>60230002599</v>
          </cell>
          <cell r="H499" t="str">
            <v>Ограничитель скорости tkAW 6023, 1,0 м/с</v>
          </cell>
          <cell r="I499" t="str">
            <v>OSG tkAW 6023, 1,0 m/s (G11U)</v>
          </cell>
          <cell r="J499" t="str">
            <v>шт</v>
          </cell>
          <cell r="K499">
            <v>11</v>
          </cell>
          <cell r="L499"/>
          <cell r="M499" t="str">
            <v>Order</v>
          </cell>
          <cell r="N499" t="str">
            <v>Germany</v>
          </cell>
          <cell r="O499" t="str">
            <v>tkAW</v>
          </cell>
          <cell r="P499" t="str">
            <v>12 weeks</v>
          </cell>
          <cell r="Q499"/>
          <cell r="R499"/>
        </row>
        <row r="500">
          <cell r="B500">
            <v>494</v>
          </cell>
          <cell r="C500">
            <v>1</v>
          </cell>
          <cell r="D500" t="str">
            <v>OSG system</v>
          </cell>
          <cell r="E500" t="str">
            <v>ОСП0004370</v>
          </cell>
          <cell r="F500">
            <v>40451505030</v>
          </cell>
          <cell r="G500" t="str">
            <v>60230002599</v>
          </cell>
          <cell r="H500" t="str">
            <v>Ограничитель скорости tkAW 6023, 1,6 м/с</v>
          </cell>
          <cell r="I500" t="str">
            <v>OSG tkAW 6023, 1,6 m/s (G13U)</v>
          </cell>
          <cell r="J500" t="str">
            <v>шт</v>
          </cell>
          <cell r="K500">
            <v>11</v>
          </cell>
          <cell r="L500"/>
          <cell r="M500" t="str">
            <v>Order</v>
          </cell>
          <cell r="N500" t="str">
            <v>Germany</v>
          </cell>
          <cell r="O500" t="str">
            <v>tkAW</v>
          </cell>
          <cell r="P500" t="str">
            <v>12 weeks</v>
          </cell>
          <cell r="Q500"/>
          <cell r="R500"/>
        </row>
        <row r="501">
          <cell r="B501">
            <v>495</v>
          </cell>
          <cell r="C501">
            <v>1</v>
          </cell>
          <cell r="D501" t="str">
            <v>OSG system</v>
          </cell>
          <cell r="E501" t="str">
            <v>ОСП0008789</v>
          </cell>
          <cell r="F501">
            <v>46451505011</v>
          </cell>
          <cell r="G501"/>
          <cell r="H501" t="str">
            <v>Кожух ограничителя скорости tkAW 6023</v>
          </cell>
          <cell r="I501" t="str">
            <v>OSG cover for tkAW 6023</v>
          </cell>
          <cell r="J501" t="str">
            <v>шт</v>
          </cell>
          <cell r="K501">
            <v>11</v>
          </cell>
          <cell r="L501"/>
          <cell r="M501" t="str">
            <v>Order</v>
          </cell>
          <cell r="N501" t="str">
            <v>Germany</v>
          </cell>
          <cell r="O501" t="str">
            <v>tkAW</v>
          </cell>
          <cell r="P501" t="str">
            <v>12 weeks</v>
          </cell>
          <cell r="Q501"/>
          <cell r="R501"/>
        </row>
        <row r="502">
          <cell r="B502">
            <v>496</v>
          </cell>
          <cell r="C502">
            <v>1</v>
          </cell>
          <cell r="D502" t="str">
            <v>OSG system</v>
          </cell>
          <cell r="E502" t="str">
            <v>ОСП0008776</v>
          </cell>
          <cell r="F502">
            <v>40451505031</v>
          </cell>
          <cell r="G502"/>
          <cell r="H502" t="str">
            <v>Ограничитель скорости tkAW 6023, 1,6 м/с (кабина, при PSG на CWT)</v>
          </cell>
          <cell r="I502" t="str">
            <v>OSG tkAW 6023, 1,6 m/s (Car, if PSG at CWT)</v>
          </cell>
          <cell r="J502" t="str">
            <v>шт</v>
          </cell>
          <cell r="K502">
            <v>11</v>
          </cell>
          <cell r="L502"/>
          <cell r="M502" t="str">
            <v>Order</v>
          </cell>
          <cell r="N502" t="str">
            <v>Germany</v>
          </cell>
          <cell r="O502" t="str">
            <v>tkAW</v>
          </cell>
          <cell r="P502" t="str">
            <v>12 weeks</v>
          </cell>
          <cell r="Q502"/>
          <cell r="R502"/>
        </row>
        <row r="503">
          <cell r="B503">
            <v>497</v>
          </cell>
          <cell r="C503">
            <v>1</v>
          </cell>
          <cell r="D503" t="str">
            <v>OSG system</v>
          </cell>
          <cell r="E503" t="str">
            <v>ОСП0008777</v>
          </cell>
          <cell r="F503">
            <v>40451505032</v>
          </cell>
          <cell r="G503" t="str">
            <v>6023002599</v>
          </cell>
          <cell r="H503" t="str">
            <v>Ограничитель скорости tkAW 6023, 1,6 м/с (противовес, при PSG на CWT)</v>
          </cell>
          <cell r="I503" t="str">
            <v>OSG tkAW 6023, 1,6 m/s (CWT, if PSG at CWT)</v>
          </cell>
          <cell r="J503" t="str">
            <v>шт</v>
          </cell>
          <cell r="K503">
            <v>11</v>
          </cell>
          <cell r="L503"/>
          <cell r="M503" t="str">
            <v>Order</v>
          </cell>
          <cell r="N503" t="str">
            <v>Germany</v>
          </cell>
          <cell r="O503" t="str">
            <v>tkAW</v>
          </cell>
          <cell r="P503" t="str">
            <v>12 weeks</v>
          </cell>
          <cell r="Q503"/>
          <cell r="R503"/>
        </row>
        <row r="504">
          <cell r="B504">
            <v>498</v>
          </cell>
          <cell r="C504">
            <v>1</v>
          </cell>
          <cell r="D504" t="str">
            <v>OSG system</v>
          </cell>
          <cell r="E504" t="str">
            <v>ОСП0009192</v>
          </cell>
          <cell r="F504">
            <v>40451505033</v>
          </cell>
          <cell r="G504"/>
          <cell r="H504" t="str">
            <v>Набор кронштейнов для крепления ограничителя скорости на направляющей противовеса</v>
          </cell>
          <cell r="I504" t="str">
            <v>OSG brackets kit for fixation at CWT guide rails</v>
          </cell>
          <cell r="J504" t="str">
            <v>компл</v>
          </cell>
          <cell r="K504">
            <v>11</v>
          </cell>
          <cell r="L504"/>
          <cell r="M504" t="str">
            <v>Order</v>
          </cell>
          <cell r="N504" t="str">
            <v>Russia</v>
          </cell>
          <cell r="O504" t="str">
            <v>Эталон</v>
          </cell>
          <cell r="P504" t="str">
            <v>6 weeks</v>
          </cell>
          <cell r="Q504"/>
          <cell r="R504"/>
        </row>
        <row r="505">
          <cell r="B505">
            <v>499</v>
          </cell>
          <cell r="C505">
            <v>1</v>
          </cell>
          <cell r="D505" t="str">
            <v>OSG system</v>
          </cell>
          <cell r="E505" t="str">
            <v>ОСП0009193</v>
          </cell>
          <cell r="F505">
            <v>40451505034</v>
          </cell>
          <cell r="G505"/>
          <cell r="H505" t="str">
            <v>Натяжное устройство для ограничителя скорости противовеса</v>
          </cell>
          <cell r="I505" t="str">
            <v>Tensioning device for CWT OSG</v>
          </cell>
          <cell r="J505" t="str">
            <v>шт</v>
          </cell>
          <cell r="K505">
            <v>11</v>
          </cell>
          <cell r="L505"/>
          <cell r="M505" t="str">
            <v>Order</v>
          </cell>
          <cell r="N505" t="str">
            <v>Germany</v>
          </cell>
          <cell r="O505" t="str">
            <v>tkAW</v>
          </cell>
          <cell r="P505" t="str">
            <v>12 weeks</v>
          </cell>
          <cell r="Q505"/>
          <cell r="R505"/>
        </row>
        <row r="506">
          <cell r="B506">
            <v>500</v>
          </cell>
          <cell r="C506">
            <v>1</v>
          </cell>
          <cell r="D506" t="str">
            <v>Counterweight</v>
          </cell>
          <cell r="E506" t="str">
            <v>ОСП0009688</v>
          </cell>
          <cell r="F506">
            <v>46451503040</v>
          </cell>
          <cell r="G506" t="str">
            <v>6175S001000_03</v>
          </cell>
          <cell r="H506" t="str">
            <v>AY Рама противовеса 900x200x3000</v>
          </cell>
          <cell r="I506" t="str">
            <v>AY Counterweight frame 900x200x3000</v>
          </cell>
          <cell r="J506" t="str">
            <v>компл</v>
          </cell>
          <cell r="K506">
            <v>8</v>
          </cell>
          <cell r="L506" t="str">
            <v>Assembly</v>
          </cell>
          <cell r="M506" t="str">
            <v>Order</v>
          </cell>
          <cell r="N506" t="str">
            <v>Russia</v>
          </cell>
          <cell r="O506" t="str">
            <v>Эталон</v>
          </cell>
          <cell r="P506" t="str">
            <v>2 weeks</v>
          </cell>
          <cell r="Q506"/>
          <cell r="R506"/>
        </row>
        <row r="507">
          <cell r="B507">
            <v>501</v>
          </cell>
          <cell r="C507">
            <v>1</v>
          </cell>
          <cell r="D507" t="str">
            <v>Counterweight</v>
          </cell>
          <cell r="E507" t="str">
            <v>ОСП0005928</v>
          </cell>
          <cell r="F507"/>
          <cell r="G507" t="str">
            <v>6175S001000</v>
          </cell>
          <cell r="H507" t="str">
            <v>Рама противовеса 900x200x3000</v>
          </cell>
          <cell r="I507" t="str">
            <v>Counterweight frame 900x200x3000</v>
          </cell>
          <cell r="J507" t="str">
            <v>шт</v>
          </cell>
          <cell r="K507"/>
          <cell r="L507"/>
          <cell r="M507" t="str">
            <v>Stock</v>
          </cell>
          <cell r="N507" t="str">
            <v>Russia</v>
          </cell>
          <cell r="O507" t="str">
            <v>Эталон</v>
          </cell>
          <cell r="P507" t="str">
            <v>2 weeks</v>
          </cell>
          <cell r="Q507"/>
          <cell r="R507"/>
        </row>
        <row r="508">
          <cell r="B508">
            <v>502</v>
          </cell>
          <cell r="C508">
            <v>1</v>
          </cell>
          <cell r="D508" t="str">
            <v>Counterweight</v>
          </cell>
          <cell r="E508" t="str">
            <v>ОСП0007871</v>
          </cell>
          <cell r="F508">
            <v>46451503030</v>
          </cell>
          <cell r="G508" t="str">
            <v>6175S008000_03</v>
          </cell>
          <cell r="H508" t="str">
            <v>AY Рама противовеса 900x200x3800</v>
          </cell>
          <cell r="I508" t="str">
            <v>AY Counterweight frame 900x200x3800</v>
          </cell>
          <cell r="J508" t="str">
            <v>компл</v>
          </cell>
          <cell r="K508">
            <v>8</v>
          </cell>
          <cell r="L508" t="str">
            <v>Assembly</v>
          </cell>
          <cell r="M508" t="str">
            <v>Order</v>
          </cell>
          <cell r="N508" t="str">
            <v>Russia</v>
          </cell>
          <cell r="O508" t="str">
            <v>Эталон</v>
          </cell>
          <cell r="P508" t="str">
            <v>2 weeks</v>
          </cell>
          <cell r="Q508"/>
          <cell r="R508"/>
        </row>
        <row r="509">
          <cell r="B509">
            <v>503</v>
          </cell>
          <cell r="C509">
            <v>1</v>
          </cell>
          <cell r="D509" t="str">
            <v>Counterweight</v>
          </cell>
          <cell r="E509" t="str">
            <v>ОСП0005929</v>
          </cell>
          <cell r="F509"/>
          <cell r="G509" t="str">
            <v>6175S008000</v>
          </cell>
          <cell r="H509" t="str">
            <v>Рама противовеса 900x200x3800</v>
          </cell>
          <cell r="I509" t="str">
            <v>Counterweight frame 900x200x3800</v>
          </cell>
          <cell r="J509" t="str">
            <v>шт</v>
          </cell>
          <cell r="K509"/>
          <cell r="L509"/>
          <cell r="M509" t="str">
            <v>Stock</v>
          </cell>
          <cell r="N509" t="str">
            <v>Russia</v>
          </cell>
          <cell r="O509" t="str">
            <v>Эталон</v>
          </cell>
          <cell r="P509" t="str">
            <v>2 weeks</v>
          </cell>
          <cell r="Q509"/>
          <cell r="R509"/>
        </row>
        <row r="510">
          <cell r="B510">
            <v>504</v>
          </cell>
          <cell r="C510">
            <v>1</v>
          </cell>
          <cell r="D510" t="str">
            <v>Counterweight</v>
          </cell>
          <cell r="E510" t="str">
            <v>ОСП0009320</v>
          </cell>
          <cell r="F510">
            <v>40451503003</v>
          </cell>
          <cell r="G510" t="str">
            <v>6175S001300_02</v>
          </cell>
          <cell r="H510" t="str">
            <v>AY Рама противовеса 900x150x3000</v>
          </cell>
          <cell r="I510" t="str">
            <v>AY Counterweight frame 900x150x3000</v>
          </cell>
          <cell r="J510" t="str">
            <v>компл</v>
          </cell>
          <cell r="K510">
            <v>8</v>
          </cell>
          <cell r="L510" t="str">
            <v>Assembly</v>
          </cell>
          <cell r="M510" t="str">
            <v>Order</v>
          </cell>
          <cell r="N510" t="str">
            <v>Russia</v>
          </cell>
          <cell r="O510" t="str">
            <v>Эталон</v>
          </cell>
          <cell r="P510" t="str">
            <v>2 weeks</v>
          </cell>
          <cell r="Q510"/>
          <cell r="R510"/>
        </row>
        <row r="511">
          <cell r="B511">
            <v>505</v>
          </cell>
          <cell r="C511">
            <v>1</v>
          </cell>
          <cell r="D511" t="str">
            <v>Counterweight</v>
          </cell>
          <cell r="E511" t="str">
            <v>ОСП0010210</v>
          </cell>
          <cell r="F511"/>
          <cell r="G511" t="str">
            <v>6175S001300</v>
          </cell>
          <cell r="H511" t="str">
            <v>Рама противовеса 900x150x3000</v>
          </cell>
          <cell r="I511" t="str">
            <v>Counterweight frame 900x150x3000</v>
          </cell>
          <cell r="J511" t="str">
            <v>шт</v>
          </cell>
          <cell r="K511"/>
          <cell r="L511"/>
          <cell r="M511" t="str">
            <v>Order</v>
          </cell>
          <cell r="N511" t="str">
            <v>Russia</v>
          </cell>
          <cell r="O511" t="str">
            <v>Эталон</v>
          </cell>
          <cell r="P511" t="str">
            <v>2 weeks</v>
          </cell>
          <cell r="Q511"/>
          <cell r="R511"/>
        </row>
        <row r="512">
          <cell r="B512">
            <v>506</v>
          </cell>
          <cell r="C512">
            <v>1</v>
          </cell>
          <cell r="D512" t="str">
            <v>Counterweight</v>
          </cell>
          <cell r="E512" t="str">
            <v>ОСП0009321</v>
          </cell>
          <cell r="F512">
            <v>40451503004</v>
          </cell>
          <cell r="G512" t="str">
            <v>6175S008300_03</v>
          </cell>
          <cell r="H512" t="str">
            <v>AY Рама противовеса 900x150x3800</v>
          </cell>
          <cell r="I512" t="str">
            <v>AY Counterweight frame 900x150x3800</v>
          </cell>
          <cell r="J512" t="str">
            <v>компл</v>
          </cell>
          <cell r="K512">
            <v>8</v>
          </cell>
          <cell r="L512" t="str">
            <v>Assembly</v>
          </cell>
          <cell r="M512" t="str">
            <v>Order</v>
          </cell>
          <cell r="N512" t="str">
            <v>Russia</v>
          </cell>
          <cell r="O512" t="str">
            <v>Эталон</v>
          </cell>
          <cell r="P512" t="str">
            <v>2 weeks</v>
          </cell>
          <cell r="Q512"/>
          <cell r="R512"/>
        </row>
        <row r="513">
          <cell r="B513">
            <v>507</v>
          </cell>
          <cell r="C513">
            <v>1</v>
          </cell>
          <cell r="D513" t="str">
            <v>Counterweight</v>
          </cell>
          <cell r="E513" t="str">
            <v>ОСП0009535</v>
          </cell>
          <cell r="F513">
            <v>40451503014</v>
          </cell>
          <cell r="G513" t="str">
            <v>6175S008300</v>
          </cell>
          <cell r="H513" t="str">
            <v>Рама противовеса 900x150x3800</v>
          </cell>
          <cell r="I513" t="str">
            <v>Counterweight frame 900x150x3800</v>
          </cell>
          <cell r="J513" t="str">
            <v>компл</v>
          </cell>
          <cell r="K513"/>
          <cell r="L513"/>
          <cell r="M513" t="str">
            <v>Order</v>
          </cell>
          <cell r="N513" t="str">
            <v>Russia</v>
          </cell>
          <cell r="O513" t="str">
            <v>Эталон</v>
          </cell>
          <cell r="P513" t="str">
            <v>2 weeks</v>
          </cell>
          <cell r="Q513"/>
          <cell r="R513"/>
        </row>
        <row r="514">
          <cell r="B514">
            <v>508</v>
          </cell>
          <cell r="C514">
            <v>0</v>
          </cell>
          <cell r="D514" t="str">
            <v>Counterweight</v>
          </cell>
          <cell r="E514" t="str">
            <v>ОСП0007727</v>
          </cell>
          <cell r="F514">
            <v>46451503020</v>
          </cell>
          <cell r="G514" t="str">
            <v>6175S008000_02</v>
          </cell>
          <cell r="H514" t="str">
            <v>AY Рама противовеса 900x200x3800, без отв. крепления комп. цепи</v>
          </cell>
          <cell r="I514" t="str">
            <v>AY Counterweight frame 900x200x3800, w/o comp. chain fixation holes</v>
          </cell>
          <cell r="J514" t="str">
            <v>компл</v>
          </cell>
          <cell r="K514">
            <v>8</v>
          </cell>
          <cell r="L514" t="str">
            <v>Assembly</v>
          </cell>
          <cell r="M514" t="str">
            <v>Order</v>
          </cell>
          <cell r="N514" t="str">
            <v>Russia</v>
          </cell>
          <cell r="O514" t="str">
            <v>Эталон</v>
          </cell>
          <cell r="P514" t="str">
            <v>4 weeks</v>
          </cell>
          <cell r="Q514"/>
          <cell r="R514"/>
        </row>
        <row r="515">
          <cell r="B515">
            <v>509</v>
          </cell>
          <cell r="C515">
            <v>0</v>
          </cell>
          <cell r="D515" t="str">
            <v>Counterweight</v>
          </cell>
          <cell r="E515" t="str">
            <v>ОСП0009942</v>
          </cell>
          <cell r="F515">
            <v>46451503076</v>
          </cell>
          <cell r="G515"/>
          <cell r="H515" t="str">
            <v>Комплект грузов противовеса 805х195 мм, 514 кг</v>
          </cell>
          <cell r="I515" t="str">
            <v>CWT filler kit 805х195 mm, 514 kg</v>
          </cell>
          <cell r="J515" t="str">
            <v>компл</v>
          </cell>
          <cell r="K515">
            <v>8</v>
          </cell>
          <cell r="L515"/>
          <cell r="M515" t="str">
            <v>Order</v>
          </cell>
          <cell r="N515" t="str">
            <v>Russia</v>
          </cell>
          <cell r="O515" t="str">
            <v>Монолитбетон</v>
          </cell>
          <cell r="P515" t="str">
            <v>6 weeks</v>
          </cell>
          <cell r="Q515"/>
          <cell r="R515"/>
        </row>
        <row r="516">
          <cell r="B516">
            <v>510</v>
          </cell>
          <cell r="C516">
            <v>0</v>
          </cell>
          <cell r="D516" t="str">
            <v>Counterweight</v>
          </cell>
          <cell r="E516" t="str">
            <v>ОСП0009687</v>
          </cell>
          <cell r="F516">
            <v>46451503077</v>
          </cell>
          <cell r="G516"/>
          <cell r="H516" t="str">
            <v>Комплект грузов противовеса 805х195 мм, 845 кг</v>
          </cell>
          <cell r="I516" t="str">
            <v>CWT filler kit 805х195 mm, 845 kg</v>
          </cell>
          <cell r="J516" t="str">
            <v>компл</v>
          </cell>
          <cell r="K516">
            <v>8</v>
          </cell>
          <cell r="L516"/>
          <cell r="M516" t="str">
            <v>Order</v>
          </cell>
          <cell r="N516" t="str">
            <v>Russia</v>
          </cell>
          <cell r="O516" t="str">
            <v>Монолитбетон</v>
          </cell>
          <cell r="P516" t="str">
            <v>6 weeks</v>
          </cell>
          <cell r="Q516"/>
          <cell r="R516"/>
        </row>
        <row r="517">
          <cell r="B517">
            <v>511</v>
          </cell>
          <cell r="C517">
            <v>0</v>
          </cell>
          <cell r="D517" t="str">
            <v>Counterweight</v>
          </cell>
          <cell r="E517" t="str">
            <v>ОСП0009737</v>
          </cell>
          <cell r="F517">
            <v>46451503078</v>
          </cell>
          <cell r="G517"/>
          <cell r="H517" t="str">
            <v>Комплект грузов противовеса 805х195 мм, 982 кг</v>
          </cell>
          <cell r="I517" t="str">
            <v>CWT filler kit 805х195 mm, 982 kg</v>
          </cell>
          <cell r="J517" t="str">
            <v>компл</v>
          </cell>
          <cell r="K517">
            <v>8</v>
          </cell>
          <cell r="L517"/>
          <cell r="M517" t="str">
            <v>Order</v>
          </cell>
          <cell r="N517" t="str">
            <v>Russia</v>
          </cell>
          <cell r="O517" t="str">
            <v>Монолитбетон</v>
          </cell>
          <cell r="P517" t="str">
            <v>6 weeks</v>
          </cell>
          <cell r="Q517"/>
          <cell r="R517"/>
        </row>
        <row r="518">
          <cell r="B518">
            <v>512</v>
          </cell>
          <cell r="C518">
            <v>0</v>
          </cell>
          <cell r="D518" t="str">
            <v>Counterweight</v>
          </cell>
          <cell r="E518" t="str">
            <v>ОСП0008207</v>
          </cell>
          <cell r="F518">
            <v>46451503060</v>
          </cell>
          <cell r="G518"/>
          <cell r="H518" t="str">
            <v>Комплект грузов противовеса 805х195 мм, 1184 кг</v>
          </cell>
          <cell r="I518" t="str">
            <v>CWT filler kit 805х195 mm, 1184 kg</v>
          </cell>
          <cell r="J518" t="str">
            <v>компл</v>
          </cell>
          <cell r="K518">
            <v>8</v>
          </cell>
          <cell r="L518"/>
          <cell r="M518" t="str">
            <v>Order</v>
          </cell>
          <cell r="N518" t="str">
            <v>Russia</v>
          </cell>
          <cell r="O518" t="str">
            <v>Монолитбетон</v>
          </cell>
          <cell r="P518" t="str">
            <v>6 weeks</v>
          </cell>
          <cell r="Q518"/>
          <cell r="R518"/>
        </row>
        <row r="519">
          <cell r="B519">
            <v>513</v>
          </cell>
          <cell r="C519">
            <v>1</v>
          </cell>
          <cell r="D519" t="str">
            <v>Counterweight</v>
          </cell>
          <cell r="E519" t="str">
            <v>ОСП0009976</v>
          </cell>
          <cell r="F519">
            <v>46451503018</v>
          </cell>
          <cell r="G519" t="str">
            <v>60104600100_00</v>
          </cell>
          <cell r="H519" t="str">
            <v>AY Ограждение противовеса, крепёж T50</v>
          </cell>
          <cell r="I519" t="str">
            <v>AY Counterweight path fencing, fixation T50</v>
          </cell>
          <cell r="J519" t="str">
            <v>компл</v>
          </cell>
          <cell r="K519">
            <v>17</v>
          </cell>
          <cell r="L519"/>
          <cell r="M519" t="str">
            <v>Stock</v>
          </cell>
          <cell r="N519" t="str">
            <v>Russia</v>
          </cell>
          <cell r="O519" t="str">
            <v>Эталон</v>
          </cell>
          <cell r="P519" t="str">
            <v>4 weeks</v>
          </cell>
          <cell r="Q519"/>
          <cell r="R519" t="str">
            <v>Перестало быть сборкой с 28.09.2018</v>
          </cell>
        </row>
        <row r="520">
          <cell r="B520">
            <v>514</v>
          </cell>
          <cell r="C520">
            <v>1</v>
          </cell>
          <cell r="D520" t="str">
            <v>Counterweight</v>
          </cell>
          <cell r="E520" t="str">
            <v>ОСП0005930</v>
          </cell>
          <cell r="F520">
            <v>46451503019</v>
          </cell>
          <cell r="G520" t="str">
            <v>60100002083</v>
          </cell>
          <cell r="H520" t="str">
            <v>Ограждение противовеса</v>
          </cell>
          <cell r="I520" t="str">
            <v>Counterweight path fencing</v>
          </cell>
          <cell r="J520" t="str">
            <v>компл</v>
          </cell>
          <cell r="K520"/>
          <cell r="L520"/>
          <cell r="M520" t="str">
            <v>Stock</v>
          </cell>
          <cell r="N520" t="str">
            <v>Russia</v>
          </cell>
          <cell r="O520" t="str">
            <v>Эталон</v>
          </cell>
          <cell r="P520" t="str">
            <v>4 weeks</v>
          </cell>
          <cell r="Q520"/>
          <cell r="R520"/>
        </row>
        <row r="521">
          <cell r="B521">
            <v>515</v>
          </cell>
          <cell r="C521">
            <v>1</v>
          </cell>
          <cell r="D521" t="str">
            <v>Counterweight</v>
          </cell>
          <cell r="E521" t="str">
            <v>ОСП0008679</v>
          </cell>
          <cell r="F521">
            <v>40451503001</v>
          </cell>
          <cell r="G521"/>
          <cell r="H521" t="str">
            <v>AY Рама противовеса RRL400 PSG-6071</v>
          </cell>
          <cell r="I521" t="str">
            <v>AY TKAW CW Frame RRL-S-400 with PSG-6071</v>
          </cell>
          <cell r="J521" t="str">
            <v>компл</v>
          </cell>
          <cell r="K521">
            <v>8</v>
          </cell>
          <cell r="L521"/>
          <cell r="M521" t="str">
            <v>Order</v>
          </cell>
          <cell r="N521" t="str">
            <v>Germany</v>
          </cell>
          <cell r="O521" t="str">
            <v>tkAW</v>
          </cell>
          <cell r="P521" t="str">
            <v>12 weeks</v>
          </cell>
          <cell r="Q521"/>
          <cell r="R521"/>
        </row>
        <row r="522">
          <cell r="B522">
            <v>516</v>
          </cell>
          <cell r="C522">
            <v>1</v>
          </cell>
          <cell r="D522" t="str">
            <v>Counterweight</v>
          </cell>
          <cell r="E522" t="str">
            <v>ОСП0008680</v>
          </cell>
          <cell r="F522">
            <v>40451503002</v>
          </cell>
          <cell r="G522"/>
          <cell r="H522" t="str">
            <v>AY Рама противовеса RRL1000 PSG-6071</v>
          </cell>
          <cell r="I522" t="str">
            <v>AY TKAW CW Frame RRL-S-1000 with PSG-6071</v>
          </cell>
          <cell r="J522" t="str">
            <v>компл</v>
          </cell>
          <cell r="K522">
            <v>8</v>
          </cell>
          <cell r="L522"/>
          <cell r="M522" t="str">
            <v>Order</v>
          </cell>
          <cell r="N522" t="str">
            <v>Germany</v>
          </cell>
          <cell r="O522" t="str">
            <v>tkAW</v>
          </cell>
          <cell r="P522" t="str">
            <v>12 weeks</v>
          </cell>
          <cell r="Q522"/>
          <cell r="R522"/>
        </row>
        <row r="523">
          <cell r="B523">
            <v>517</v>
          </cell>
          <cell r="C523">
            <v>0</v>
          </cell>
          <cell r="D523" t="str">
            <v>Counterweight</v>
          </cell>
          <cell r="E523" t="str">
            <v>ОСП0008204</v>
          </cell>
          <cell r="F523">
            <v>46451503050</v>
          </cell>
          <cell r="G523"/>
          <cell r="H523" t="str">
            <v>Комплект грузов противовеса 805х195 мм, 661 кг</v>
          </cell>
          <cell r="I523" t="str">
            <v>CWT filler kit 805х195 mm, 661 kg</v>
          </cell>
          <cell r="J523" t="str">
            <v>компл</v>
          </cell>
          <cell r="K523">
            <v>8</v>
          </cell>
          <cell r="L523"/>
          <cell r="M523" t="str">
            <v>Order</v>
          </cell>
          <cell r="N523" t="str">
            <v>Russia</v>
          </cell>
          <cell r="O523" t="str">
            <v>Монолитбетон</v>
          </cell>
          <cell r="P523" t="str">
            <v>6 weeks</v>
          </cell>
          <cell r="Q523"/>
          <cell r="R523"/>
        </row>
        <row r="524">
          <cell r="B524">
            <v>518</v>
          </cell>
          <cell r="C524">
            <v>0</v>
          </cell>
          <cell r="D524" t="str">
            <v>Counterweight</v>
          </cell>
          <cell r="E524" t="str">
            <v>ОСП0008205</v>
          </cell>
          <cell r="F524">
            <v>46451503051</v>
          </cell>
          <cell r="G524"/>
          <cell r="H524" t="str">
            <v>Комплект грузов противовеса 805х195 мм, 672 кг</v>
          </cell>
          <cell r="I524" t="str">
            <v>CWT filler kit 805х195 mm, 672 kg</v>
          </cell>
          <cell r="J524" t="str">
            <v>компл</v>
          </cell>
          <cell r="K524">
            <v>8</v>
          </cell>
          <cell r="L524"/>
          <cell r="M524" t="str">
            <v>Order</v>
          </cell>
          <cell r="N524" t="str">
            <v>Russia</v>
          </cell>
          <cell r="O524" t="str">
            <v>Монолитбетон</v>
          </cell>
          <cell r="P524" t="str">
            <v>6 weeks</v>
          </cell>
          <cell r="Q524"/>
          <cell r="R524"/>
        </row>
        <row r="525">
          <cell r="B525">
            <v>519</v>
          </cell>
          <cell r="C525">
            <v>0</v>
          </cell>
          <cell r="D525" t="str">
            <v>Counterweight</v>
          </cell>
          <cell r="E525" t="str">
            <v>ОСП0008206</v>
          </cell>
          <cell r="F525">
            <v>46451503052</v>
          </cell>
          <cell r="G525"/>
          <cell r="H525" t="str">
            <v>Комплект грузов противовеса 805х195 мм, 723 кг</v>
          </cell>
          <cell r="I525" t="str">
            <v>CWT filler kit 805х195 mm, 723 kg</v>
          </cell>
          <cell r="J525" t="str">
            <v>компл</v>
          </cell>
          <cell r="K525">
            <v>8</v>
          </cell>
          <cell r="L525"/>
          <cell r="M525" t="str">
            <v>Order</v>
          </cell>
          <cell r="N525" t="str">
            <v>Russia</v>
          </cell>
          <cell r="O525" t="str">
            <v>Монолитбетон</v>
          </cell>
          <cell r="P525" t="str">
            <v>6 weeks</v>
          </cell>
          <cell r="Q525"/>
          <cell r="R525"/>
        </row>
        <row r="526">
          <cell r="B526">
            <v>520</v>
          </cell>
          <cell r="C526">
            <v>0</v>
          </cell>
          <cell r="D526" t="str">
            <v>Counterweight</v>
          </cell>
          <cell r="E526" t="str">
            <v>ОСП0008208</v>
          </cell>
          <cell r="F526">
            <v>46451503061</v>
          </cell>
          <cell r="G526"/>
          <cell r="H526" t="str">
            <v>Комплект грузов противовеса 805х195 мм, 1207 кг</v>
          </cell>
          <cell r="I526" t="str">
            <v>CWT filler kit 805х195 mm, 1207 kg</v>
          </cell>
          <cell r="J526" t="str">
            <v>компл</v>
          </cell>
          <cell r="K526">
            <v>8</v>
          </cell>
          <cell r="L526"/>
          <cell r="M526" t="str">
            <v>Order</v>
          </cell>
          <cell r="N526" t="str">
            <v>Russia</v>
          </cell>
          <cell r="O526" t="str">
            <v>Монолитбетон</v>
          </cell>
          <cell r="P526" t="str">
            <v>6 weeks</v>
          </cell>
          <cell r="Q526"/>
          <cell r="R526"/>
        </row>
        <row r="527">
          <cell r="B527">
            <v>521</v>
          </cell>
          <cell r="C527">
            <v>0</v>
          </cell>
          <cell r="D527" t="str">
            <v>Counterweight</v>
          </cell>
          <cell r="E527" t="str">
            <v>ОСП0008209</v>
          </cell>
          <cell r="F527">
            <v>46451503062</v>
          </cell>
          <cell r="G527"/>
          <cell r="H527" t="str">
            <v>Комплект грузов противовеса 805х195 мм, 1261 кг</v>
          </cell>
          <cell r="I527" t="str">
            <v>CWT filler kit 805х195 mm, 1261 kg</v>
          </cell>
          <cell r="J527" t="str">
            <v>компл</v>
          </cell>
          <cell r="K527">
            <v>8</v>
          </cell>
          <cell r="L527"/>
          <cell r="M527" t="str">
            <v>Order</v>
          </cell>
          <cell r="N527" t="str">
            <v>Russia</v>
          </cell>
          <cell r="O527" t="str">
            <v>Монолитбетон</v>
          </cell>
          <cell r="P527" t="str">
            <v>6 weeks</v>
          </cell>
          <cell r="Q527"/>
          <cell r="R527"/>
        </row>
        <row r="528">
          <cell r="B528">
            <v>522</v>
          </cell>
          <cell r="C528">
            <v>0</v>
          </cell>
          <cell r="D528" t="str">
            <v>Counterweight</v>
          </cell>
          <cell r="E528" t="str">
            <v>ОСП0008176</v>
          </cell>
          <cell r="F528">
            <v>46451503026</v>
          </cell>
          <cell r="G528"/>
          <cell r="H528" t="str">
            <v>Комплект грузов противовеса 805х195 мм, 1272 кг</v>
          </cell>
          <cell r="I528" t="str">
            <v>CWT filler kit 805х195 mm, 1272 kg</v>
          </cell>
          <cell r="J528" t="str">
            <v>компл</v>
          </cell>
          <cell r="K528">
            <v>8</v>
          </cell>
          <cell r="L528"/>
          <cell r="M528" t="str">
            <v>Order</v>
          </cell>
          <cell r="N528" t="str">
            <v>Russia</v>
          </cell>
          <cell r="O528" t="str">
            <v>Монолитбетон</v>
          </cell>
          <cell r="P528" t="str">
            <v>6 weeks</v>
          </cell>
          <cell r="Q528"/>
          <cell r="R528"/>
        </row>
        <row r="529">
          <cell r="B529">
            <v>523</v>
          </cell>
          <cell r="C529">
            <v>0</v>
          </cell>
          <cell r="D529" t="str">
            <v>Counterweight</v>
          </cell>
          <cell r="E529" t="str">
            <v>ОСП0008210</v>
          </cell>
          <cell r="F529">
            <v>46451503063</v>
          </cell>
          <cell r="G529"/>
          <cell r="H529" t="str">
            <v>Комплект грузов противовеса 805х195 мм, 1283 кг</v>
          </cell>
          <cell r="I529" t="str">
            <v>CWT filler kit 805х195 mm, 1283 kg</v>
          </cell>
          <cell r="J529" t="str">
            <v>компл</v>
          </cell>
          <cell r="K529">
            <v>8</v>
          </cell>
          <cell r="L529"/>
          <cell r="M529" t="str">
            <v>Order</v>
          </cell>
          <cell r="N529" t="str">
            <v>Russia</v>
          </cell>
          <cell r="O529" t="str">
            <v>Монолитбетон</v>
          </cell>
          <cell r="P529" t="str">
            <v>6 weeks</v>
          </cell>
          <cell r="Q529"/>
          <cell r="R529"/>
        </row>
        <row r="530">
          <cell r="B530">
            <v>524</v>
          </cell>
          <cell r="C530">
            <v>0</v>
          </cell>
          <cell r="D530" t="str">
            <v>Counterweight</v>
          </cell>
          <cell r="E530" t="str">
            <v>ОСП0008211</v>
          </cell>
          <cell r="F530">
            <v>46451503064</v>
          </cell>
          <cell r="G530"/>
          <cell r="H530" t="str">
            <v>Комплект грузов противовеса 805х195 мм, 1316 кг</v>
          </cell>
          <cell r="I530" t="str">
            <v>CWT filler kit 805х195 mm, 1316 kg</v>
          </cell>
          <cell r="J530" t="str">
            <v>компл</v>
          </cell>
          <cell r="K530">
            <v>8</v>
          </cell>
          <cell r="L530"/>
          <cell r="M530" t="str">
            <v>Order</v>
          </cell>
          <cell r="N530" t="str">
            <v>Russia</v>
          </cell>
          <cell r="O530" t="str">
            <v>Монолитбетон</v>
          </cell>
          <cell r="P530" t="str">
            <v>6 weeks</v>
          </cell>
          <cell r="Q530"/>
          <cell r="R530"/>
        </row>
        <row r="531">
          <cell r="B531">
            <v>525</v>
          </cell>
          <cell r="C531">
            <v>0</v>
          </cell>
          <cell r="D531" t="str">
            <v>Counterweight</v>
          </cell>
          <cell r="E531" t="str">
            <v>ОСП0008212</v>
          </cell>
          <cell r="F531">
            <v>46451503065</v>
          </cell>
          <cell r="G531"/>
          <cell r="H531" t="str">
            <v>Комплект грузов противовеса 805х195 мм, 1338 кг</v>
          </cell>
          <cell r="I531" t="str">
            <v>CWT filler kit 805х195 mm, 1338 kg</v>
          </cell>
          <cell r="J531" t="str">
            <v>компл</v>
          </cell>
          <cell r="K531">
            <v>8</v>
          </cell>
          <cell r="L531"/>
          <cell r="M531" t="str">
            <v>Order</v>
          </cell>
          <cell r="N531" t="str">
            <v>Russia</v>
          </cell>
          <cell r="O531" t="str">
            <v>Монолитбетон</v>
          </cell>
          <cell r="P531" t="str">
            <v>6 weeks</v>
          </cell>
          <cell r="Q531"/>
          <cell r="R531"/>
        </row>
        <row r="532">
          <cell r="B532">
            <v>526</v>
          </cell>
          <cell r="C532">
            <v>0</v>
          </cell>
          <cell r="D532" t="str">
            <v>Counterweight</v>
          </cell>
          <cell r="E532" t="str">
            <v>ОСП0008213</v>
          </cell>
          <cell r="F532">
            <v>46451503066</v>
          </cell>
          <cell r="G532"/>
          <cell r="H532" t="str">
            <v>Комплект грузов противовеса 805х195 мм, 1393 кг</v>
          </cell>
          <cell r="I532" t="str">
            <v>CWT filler kit 805х195 mm, 1393 kg</v>
          </cell>
          <cell r="J532" t="str">
            <v>компл</v>
          </cell>
          <cell r="K532">
            <v>8</v>
          </cell>
          <cell r="L532"/>
          <cell r="M532" t="str">
            <v>Order</v>
          </cell>
          <cell r="N532" t="str">
            <v>Russia</v>
          </cell>
          <cell r="O532" t="str">
            <v>Монолитбетон</v>
          </cell>
          <cell r="P532" t="str">
            <v>6 weeks</v>
          </cell>
          <cell r="Q532"/>
          <cell r="R532"/>
        </row>
        <row r="533">
          <cell r="B533">
            <v>527</v>
          </cell>
          <cell r="C533">
            <v>0</v>
          </cell>
          <cell r="D533" t="str">
            <v>Counterweight</v>
          </cell>
          <cell r="E533" t="str">
            <v>ОСП0008214</v>
          </cell>
          <cell r="F533">
            <v>46451503067</v>
          </cell>
          <cell r="G533"/>
          <cell r="H533" t="str">
            <v>Комплект грузов противовеса 805х195 мм, 1414 кг</v>
          </cell>
          <cell r="I533" t="str">
            <v>CWT filler kit 805х195 mm, 1414 kg</v>
          </cell>
          <cell r="J533" t="str">
            <v>компл</v>
          </cell>
          <cell r="K533">
            <v>8</v>
          </cell>
          <cell r="L533"/>
          <cell r="M533" t="str">
            <v>Order</v>
          </cell>
          <cell r="N533" t="str">
            <v>Russia</v>
          </cell>
          <cell r="O533" t="str">
            <v>Монолитбетон</v>
          </cell>
          <cell r="P533" t="str">
            <v>6 weeks</v>
          </cell>
          <cell r="Q533"/>
          <cell r="R533"/>
        </row>
        <row r="534">
          <cell r="B534">
            <v>528</v>
          </cell>
          <cell r="C534">
            <v>0</v>
          </cell>
          <cell r="D534" t="str">
            <v>Counterweight</v>
          </cell>
          <cell r="E534" t="str">
            <v>ОСП0008688</v>
          </cell>
          <cell r="F534">
            <v>46451503068</v>
          </cell>
          <cell r="G534"/>
          <cell r="H534" t="str">
            <v>Комплект грузов противовеса 805х195 мм, 1453 кг</v>
          </cell>
          <cell r="I534" t="str">
            <v>CWT filler kit 805х195 mm, 1453 kg</v>
          </cell>
          <cell r="J534" t="str">
            <v>компл</v>
          </cell>
          <cell r="K534">
            <v>8</v>
          </cell>
          <cell r="L534"/>
          <cell r="M534" t="str">
            <v>Order</v>
          </cell>
          <cell r="N534" t="str">
            <v>Russia</v>
          </cell>
          <cell r="O534" t="str">
            <v>Монолитбетон</v>
          </cell>
          <cell r="P534" t="str">
            <v>6 weeks</v>
          </cell>
          <cell r="Q534"/>
          <cell r="R534"/>
        </row>
        <row r="535">
          <cell r="B535">
            <v>529</v>
          </cell>
          <cell r="C535">
            <v>0</v>
          </cell>
          <cell r="D535" t="str">
            <v>Counterweight</v>
          </cell>
          <cell r="E535" t="str">
            <v>ОСП0009250</v>
          </cell>
          <cell r="F535">
            <v>46451503071</v>
          </cell>
          <cell r="G535"/>
          <cell r="H535" t="str">
            <v>Комплект грузов противовеса 805х195 мм, 1013 кг</v>
          </cell>
          <cell r="I535" t="str">
            <v>CWT filler kit 805х195 mm, 1013 kg</v>
          </cell>
          <cell r="J535" t="str">
            <v>компл</v>
          </cell>
          <cell r="K535">
            <v>8</v>
          </cell>
          <cell r="L535"/>
          <cell r="M535" t="str">
            <v>Order</v>
          </cell>
          <cell r="N535" t="str">
            <v>Russia</v>
          </cell>
          <cell r="O535" t="str">
            <v>Монолитбетон</v>
          </cell>
          <cell r="P535" t="str">
            <v>6 weeks</v>
          </cell>
          <cell r="Q535"/>
          <cell r="R535"/>
        </row>
        <row r="536">
          <cell r="B536">
            <v>530</v>
          </cell>
          <cell r="C536">
            <v>0</v>
          </cell>
          <cell r="D536" t="str">
            <v>Counterweight</v>
          </cell>
          <cell r="E536" t="str">
            <v>ОСП0009723</v>
          </cell>
          <cell r="F536">
            <v>46451503079</v>
          </cell>
          <cell r="G536"/>
          <cell r="H536" t="str">
            <v>Комплект грузов противовеса 805х195 мм, 1480 кг</v>
          </cell>
          <cell r="I536" t="str">
            <v>CWT filler kit 805х195 mm, 1480 kg</v>
          </cell>
          <cell r="J536" t="str">
            <v>компл</v>
          </cell>
          <cell r="K536">
            <v>8</v>
          </cell>
          <cell r="L536"/>
          <cell r="M536" t="str">
            <v>Order</v>
          </cell>
          <cell r="N536" t="str">
            <v>Russia</v>
          </cell>
          <cell r="O536" t="str">
            <v>Монолитбетон</v>
          </cell>
          <cell r="P536" t="str">
            <v>6 weeks</v>
          </cell>
          <cell r="Q536"/>
          <cell r="R536"/>
        </row>
        <row r="537">
          <cell r="B537">
            <v>531</v>
          </cell>
          <cell r="C537">
            <v>0</v>
          </cell>
          <cell r="D537" t="str">
            <v>Counterweight</v>
          </cell>
          <cell r="E537" t="str">
            <v>ОСП0009800</v>
          </cell>
          <cell r="F537">
            <v>46451503080</v>
          </cell>
          <cell r="G537"/>
          <cell r="H537" t="str">
            <v>Комплект грузов противовеса 805х195 мм, 1086 кг</v>
          </cell>
          <cell r="I537" t="str">
            <v>CWT filler kit 805х195 mm, 1086 kg</v>
          </cell>
          <cell r="J537" t="str">
            <v>компл</v>
          </cell>
          <cell r="K537">
            <v>8</v>
          </cell>
          <cell r="L537"/>
          <cell r="M537" t="str">
            <v>Order</v>
          </cell>
          <cell r="N537" t="str">
            <v>Russia</v>
          </cell>
          <cell r="O537" t="str">
            <v>Монолитбетон</v>
          </cell>
          <cell r="P537" t="str">
            <v>6 weeks</v>
          </cell>
          <cell r="Q537"/>
          <cell r="R537"/>
        </row>
        <row r="538">
          <cell r="B538">
            <v>532</v>
          </cell>
          <cell r="C538">
            <v>0</v>
          </cell>
          <cell r="D538" t="str">
            <v>Counterweight</v>
          </cell>
          <cell r="E538" t="str">
            <v>ОСП0009318</v>
          </cell>
          <cell r="F538">
            <v>46451503073</v>
          </cell>
          <cell r="G538"/>
          <cell r="H538" t="str">
            <v>Комплект грузов RRL 1352 кг, 38 - 46, 150 мм</v>
          </cell>
          <cell r="I538" t="str">
            <v>AY CW  Filler 150mm 1352 kg,38-46/ spare part</v>
          </cell>
          <cell r="J538" t="str">
            <v>компл</v>
          </cell>
          <cell r="K538">
            <v>8</v>
          </cell>
          <cell r="L538"/>
          <cell r="M538" t="str">
            <v>Order</v>
          </cell>
          <cell r="N538" t="str">
            <v>Russia</v>
          </cell>
          <cell r="O538" t="str">
            <v>Монолитбетон</v>
          </cell>
          <cell r="P538" t="str">
            <v>5 weeks</v>
          </cell>
          <cell r="Q538"/>
          <cell r="R538"/>
        </row>
        <row r="539">
          <cell r="B539">
            <v>533</v>
          </cell>
          <cell r="C539">
            <v>1</v>
          </cell>
          <cell r="D539" t="str">
            <v>Compensation chain</v>
          </cell>
          <cell r="E539" t="str">
            <v>ОСП0007875</v>
          </cell>
          <cell r="F539">
            <v>46451514001</v>
          </cell>
          <cell r="G539" t="str">
            <v>6167S002510_01</v>
          </cell>
          <cell r="H539" t="str">
            <v>AY Кронштейн компенсационной цепи (кабина 630 и 1000D)</v>
          </cell>
          <cell r="I539" t="str">
            <v>AY Compensation chain bracket (car 630 and 1000D)</v>
          </cell>
          <cell r="J539" t="str">
            <v>компл</v>
          </cell>
          <cell r="K539">
            <v>12</v>
          </cell>
          <cell r="L539" t="str">
            <v>Assembly</v>
          </cell>
          <cell r="M539" t="str">
            <v>Stock</v>
          </cell>
          <cell r="N539" t="str">
            <v>Russia</v>
          </cell>
          <cell r="O539" t="str">
            <v>Эталон</v>
          </cell>
          <cell r="P539" t="str">
            <v>5 weeks</v>
          </cell>
          <cell r="Q539"/>
          <cell r="R539"/>
        </row>
        <row r="540">
          <cell r="B540">
            <v>534</v>
          </cell>
          <cell r="C540">
            <v>1</v>
          </cell>
          <cell r="D540" t="str">
            <v>Compensation chain</v>
          </cell>
          <cell r="E540" t="str">
            <v>ОСП0010169</v>
          </cell>
          <cell r="F540"/>
          <cell r="G540" t="str">
            <v>6167S002510_01</v>
          </cell>
          <cell r="H540" t="str">
            <v>Кронштейн компенсационной цепи (кабина 630 и 1000D)</v>
          </cell>
          <cell r="I540" t="str">
            <v>Compensation chain bracket (car 630 and 1000D)</v>
          </cell>
          <cell r="J540" t="str">
            <v>шт</v>
          </cell>
          <cell r="K540"/>
          <cell r="L540"/>
          <cell r="M540" t="str">
            <v>Stock</v>
          </cell>
          <cell r="N540" t="str">
            <v>Russia</v>
          </cell>
          <cell r="O540" t="str">
            <v>Эталон</v>
          </cell>
          <cell r="P540" t="str">
            <v>5 weeks</v>
          </cell>
          <cell r="Q540"/>
          <cell r="R540"/>
        </row>
        <row r="541">
          <cell r="B541">
            <v>535</v>
          </cell>
          <cell r="C541">
            <v>1</v>
          </cell>
          <cell r="D541" t="str">
            <v>Compensation chain</v>
          </cell>
          <cell r="E541" t="str">
            <v>ОСП0008216</v>
          </cell>
          <cell r="F541">
            <v>46451514003</v>
          </cell>
          <cell r="G541" t="str">
            <v>6167S002530_00</v>
          </cell>
          <cell r="H541" t="str">
            <v>AY Кронштейн компенсационной цепи (кабина 400 и 1000W)</v>
          </cell>
          <cell r="I541" t="str">
            <v>AY Compensation chain bracket (car 400 and 1000W)</v>
          </cell>
          <cell r="J541" t="str">
            <v>компл</v>
          </cell>
          <cell r="K541">
            <v>12</v>
          </cell>
          <cell r="L541" t="str">
            <v>Assembly</v>
          </cell>
          <cell r="M541" t="str">
            <v>Stock</v>
          </cell>
          <cell r="N541" t="str">
            <v>Russia</v>
          </cell>
          <cell r="O541" t="str">
            <v>Эталон</v>
          </cell>
          <cell r="P541" t="str">
            <v>5 weeks</v>
          </cell>
          <cell r="Q541"/>
          <cell r="R541"/>
        </row>
        <row r="542">
          <cell r="B542">
            <v>536</v>
          </cell>
          <cell r="C542">
            <v>1</v>
          </cell>
          <cell r="D542" t="str">
            <v>Compensation chain</v>
          </cell>
          <cell r="E542" t="str">
            <v>ОСП0010170</v>
          </cell>
          <cell r="F542"/>
          <cell r="G542" t="str">
            <v>6167S002530_00</v>
          </cell>
          <cell r="H542" t="str">
            <v>Кронштейн компенсационной цепи (кабина 400 и 1000W)</v>
          </cell>
          <cell r="I542" t="str">
            <v>Compensation chain bracket (car 400 and 1000W)</v>
          </cell>
          <cell r="J542" t="str">
            <v>шт</v>
          </cell>
          <cell r="K542"/>
          <cell r="L542"/>
          <cell r="M542" t="str">
            <v>Stock</v>
          </cell>
          <cell r="N542" t="str">
            <v>Russia</v>
          </cell>
          <cell r="O542" t="str">
            <v>Эталон</v>
          </cell>
          <cell r="P542" t="str">
            <v>5 weeks</v>
          </cell>
          <cell r="Q542"/>
          <cell r="R542"/>
        </row>
        <row r="543">
          <cell r="B543">
            <v>537</v>
          </cell>
          <cell r="C543">
            <v>1</v>
          </cell>
          <cell r="D543" t="str">
            <v>Compensation chain</v>
          </cell>
          <cell r="E543" t="str">
            <v>ОСП0007876</v>
          </cell>
          <cell r="F543">
            <v>46451514002</v>
          </cell>
          <cell r="G543" t="str">
            <v>6167S002520_00</v>
          </cell>
          <cell r="H543" t="str">
            <v>AY Кронштейн компенсационной цепи (противовес)</v>
          </cell>
          <cell r="I543" t="str">
            <v>AY Compensation chain bracket (CWT)</v>
          </cell>
          <cell r="J543" t="str">
            <v>компл</v>
          </cell>
          <cell r="K543">
            <v>12</v>
          </cell>
          <cell r="L543" t="str">
            <v>Assembly</v>
          </cell>
          <cell r="M543" t="str">
            <v>Stock</v>
          </cell>
          <cell r="N543" t="str">
            <v>Russia</v>
          </cell>
          <cell r="O543" t="str">
            <v>Эталон</v>
          </cell>
          <cell r="P543" t="str">
            <v>5 weeks</v>
          </cell>
          <cell r="Q543"/>
          <cell r="R543"/>
        </row>
        <row r="544">
          <cell r="B544">
            <v>538</v>
          </cell>
          <cell r="C544">
            <v>1</v>
          </cell>
          <cell r="D544" t="str">
            <v>Compensation chain</v>
          </cell>
          <cell r="E544" t="str">
            <v>ОСП0010171</v>
          </cell>
          <cell r="F544"/>
          <cell r="G544" t="str">
            <v>6167S002520_00</v>
          </cell>
          <cell r="H544" t="str">
            <v>Кронштейн компенсационной цепи (противовес)</v>
          </cell>
          <cell r="I544" t="str">
            <v>Compensation chain bracket (CWT)</v>
          </cell>
          <cell r="J544" t="str">
            <v>шт</v>
          </cell>
          <cell r="K544"/>
          <cell r="L544"/>
          <cell r="M544" t="str">
            <v>Stock</v>
          </cell>
          <cell r="N544" t="str">
            <v>Russia</v>
          </cell>
          <cell r="O544" t="str">
            <v>Эталон</v>
          </cell>
          <cell r="P544" t="str">
            <v>5 weeks</v>
          </cell>
          <cell r="Q544"/>
          <cell r="R544"/>
        </row>
        <row r="545">
          <cell r="B545">
            <v>539</v>
          </cell>
          <cell r="C545">
            <v>1</v>
          </cell>
          <cell r="D545" t="str">
            <v>Compensation chain</v>
          </cell>
          <cell r="E545" t="str">
            <v>ОСП0009861</v>
          </cell>
          <cell r="F545">
            <v>85451522012</v>
          </cell>
          <cell r="G545" t="str">
            <v>16-010-97 QL10</v>
          </cell>
          <cell r="H545" t="str">
            <v>Компенсационная цепь QuietLink II QL10 - 1,49 кг/м</v>
          </cell>
          <cell r="I545" t="str">
            <v>Compensation chain QuietLink II QL10 - 1,49 kg/m</v>
          </cell>
          <cell r="J545" t="str">
            <v>шт</v>
          </cell>
          <cell r="K545">
            <v>12</v>
          </cell>
          <cell r="L545"/>
          <cell r="M545" t="str">
            <v>Order</v>
          </cell>
          <cell r="N545" t="str">
            <v>Czech repub.</v>
          </cell>
          <cell r="O545" t="str">
            <v>DRAKA</v>
          </cell>
          <cell r="P545" t="str">
            <v>6 weeks</v>
          </cell>
          <cell r="Q545"/>
          <cell r="R545"/>
        </row>
        <row r="546">
          <cell r="B546">
            <v>540</v>
          </cell>
          <cell r="C546">
            <v>1</v>
          </cell>
          <cell r="D546" t="str">
            <v>Compensation chain</v>
          </cell>
          <cell r="E546" t="str">
            <v>ОСП0009862</v>
          </cell>
          <cell r="F546">
            <v>85451522013</v>
          </cell>
          <cell r="G546" t="str">
            <v>16-015-97 QL15</v>
          </cell>
          <cell r="H546" t="str">
            <v>Компенсационная цепь QuietLink II QL15 - 2,24 кг/м</v>
          </cell>
          <cell r="I546" t="str">
            <v>Compensation chain QuietLink II QL15 - 2,24 kg/m</v>
          </cell>
          <cell r="J546" t="str">
            <v>шт</v>
          </cell>
          <cell r="K546">
            <v>12</v>
          </cell>
          <cell r="L546"/>
          <cell r="M546" t="str">
            <v>Order</v>
          </cell>
          <cell r="N546" t="str">
            <v>Czech repub.</v>
          </cell>
          <cell r="O546" t="str">
            <v>DRAKA</v>
          </cell>
          <cell r="P546" t="str">
            <v>6 weeks</v>
          </cell>
          <cell r="Q546"/>
          <cell r="R546"/>
        </row>
        <row r="547">
          <cell r="B547">
            <v>541</v>
          </cell>
          <cell r="C547">
            <v>1</v>
          </cell>
          <cell r="D547" t="str">
            <v>Buffer</v>
          </cell>
          <cell r="E547" t="str">
            <v>ОСП0007731</v>
          </cell>
          <cell r="F547">
            <v>46451502020</v>
          </cell>
          <cell r="G547" t="str">
            <v>6021S001000_01</v>
          </cell>
          <cell r="H547" t="str">
            <v>AY Опора буфера, 840 мм (вкл. буфер EN2)</v>
          </cell>
          <cell r="I547" t="str">
            <v>AY Buffer support, 840 mm (incl. buffer EN2)</v>
          </cell>
          <cell r="J547" t="str">
            <v>компл</v>
          </cell>
          <cell r="K547">
            <v>7</v>
          </cell>
          <cell r="L547" t="str">
            <v>Assembly</v>
          </cell>
          <cell r="M547" t="str">
            <v>Stock</v>
          </cell>
          <cell r="N547" t="str">
            <v>Russia</v>
          </cell>
          <cell r="O547" t="str">
            <v>Эталон</v>
          </cell>
          <cell r="P547" t="str">
            <v>5 weeks</v>
          </cell>
          <cell r="Q547"/>
          <cell r="R547"/>
        </row>
        <row r="548">
          <cell r="B548">
            <v>542</v>
          </cell>
          <cell r="C548">
            <v>1</v>
          </cell>
          <cell r="D548" t="str">
            <v>Buffer</v>
          </cell>
          <cell r="E548" t="str">
            <v>ОСП0005923</v>
          </cell>
          <cell r="F548"/>
          <cell r="G548" t="str">
            <v>6021S001000</v>
          </cell>
          <cell r="H548" t="str">
            <v>Опора буфера, 840 мм (вкл. буфер EN2)</v>
          </cell>
          <cell r="I548" t="str">
            <v>Buffer support, 840 mm (incl. buffer EN2)</v>
          </cell>
          <cell r="J548" t="str">
            <v>шт</v>
          </cell>
          <cell r="K548"/>
          <cell r="L548"/>
          <cell r="M548" t="str">
            <v>Stock</v>
          </cell>
          <cell r="N548" t="str">
            <v>Russia</v>
          </cell>
          <cell r="O548" t="str">
            <v>Эталон</v>
          </cell>
          <cell r="P548" t="str">
            <v>5 weeks</v>
          </cell>
          <cell r="Q548"/>
          <cell r="R548"/>
        </row>
        <row r="549">
          <cell r="B549">
            <v>543</v>
          </cell>
          <cell r="C549">
            <v>1</v>
          </cell>
          <cell r="D549" t="str">
            <v>Buffer</v>
          </cell>
          <cell r="E549" t="str">
            <v>ОСП0007732</v>
          </cell>
          <cell r="F549">
            <v>46451502010</v>
          </cell>
          <cell r="G549" t="str">
            <v>60210009216_00</v>
          </cell>
          <cell r="H549" t="str">
            <v>AY Опора буфера 300 мм (вкл. буфер EN2)</v>
          </cell>
          <cell r="I549" t="str">
            <v>AY Buffer support, 300 mm (incl. buffer EN2)</v>
          </cell>
          <cell r="J549" t="str">
            <v>компл</v>
          </cell>
          <cell r="K549">
            <v>7</v>
          </cell>
          <cell r="L549" t="str">
            <v>Assembly</v>
          </cell>
          <cell r="M549" t="str">
            <v>Stock</v>
          </cell>
          <cell r="N549" t="str">
            <v>Russia</v>
          </cell>
          <cell r="O549" t="str">
            <v>Эталон</v>
          </cell>
          <cell r="P549" t="str">
            <v>5 weeks</v>
          </cell>
          <cell r="Q549"/>
          <cell r="R549"/>
        </row>
        <row r="550">
          <cell r="B550">
            <v>544</v>
          </cell>
          <cell r="C550">
            <v>1</v>
          </cell>
          <cell r="D550" t="str">
            <v>Buffer</v>
          </cell>
          <cell r="E550" t="str">
            <v>ОСП0005927</v>
          </cell>
          <cell r="F550"/>
          <cell r="G550" t="str">
            <v>60210009216</v>
          </cell>
          <cell r="H550" t="str">
            <v>Опора буфера 300 мм (вкл. буфер EN2)</v>
          </cell>
          <cell r="I550" t="str">
            <v>Buffer support, 300 mm (incl. buffer EN2)</v>
          </cell>
          <cell r="J550" t="str">
            <v>шт</v>
          </cell>
          <cell r="K550"/>
          <cell r="L550"/>
          <cell r="M550" t="str">
            <v>Stock</v>
          </cell>
          <cell r="N550" t="str">
            <v>Russia</v>
          </cell>
          <cell r="O550" t="str">
            <v>Эталон</v>
          </cell>
          <cell r="P550" t="str">
            <v>5 weeks</v>
          </cell>
          <cell r="Q550"/>
          <cell r="R550"/>
        </row>
        <row r="551">
          <cell r="B551">
            <v>545</v>
          </cell>
          <cell r="C551">
            <v>1</v>
          </cell>
          <cell r="D551" t="str">
            <v>Buffer</v>
          </cell>
          <cell r="E551" t="str">
            <v>ОСП0007711</v>
          </cell>
          <cell r="F551">
            <v>40451519030</v>
          </cell>
          <cell r="G551" t="str">
            <v>6054071010</v>
          </cell>
          <cell r="H551" t="str">
            <v>Буфер гидравлический 1,6 м/с, O1A (430 - 1370 кг)</v>
          </cell>
          <cell r="I551" t="str">
            <v>Oilbuffer 1,6 m/s, O1A (430 - 1370 kg)</v>
          </cell>
          <cell r="J551" t="str">
            <v>шт</v>
          </cell>
          <cell r="K551">
            <v>7</v>
          </cell>
          <cell r="L551"/>
          <cell r="M551" t="str">
            <v>Order</v>
          </cell>
          <cell r="N551" t="str">
            <v>Germany</v>
          </cell>
          <cell r="O551" t="str">
            <v>tkAW</v>
          </cell>
          <cell r="P551" t="str">
            <v>8 weeks</v>
          </cell>
          <cell r="Q551"/>
          <cell r="R551"/>
        </row>
        <row r="552">
          <cell r="B552">
            <v>546</v>
          </cell>
          <cell r="C552">
            <v>1</v>
          </cell>
          <cell r="D552" t="str">
            <v>Buffer</v>
          </cell>
          <cell r="E552" t="str">
            <v>ОСП0007712</v>
          </cell>
          <cell r="F552">
            <v>40451519031</v>
          </cell>
          <cell r="G552" t="str">
            <v>6054072010</v>
          </cell>
          <cell r="H552" t="str">
            <v>Буфер гидравлический 1,6 м/с, O1B (620 - 2000 кг)</v>
          </cell>
          <cell r="I552" t="str">
            <v>Oilbuffer 1,6 m/s, O1B (620 - 2000 kg)</v>
          </cell>
          <cell r="J552" t="str">
            <v>шт</v>
          </cell>
          <cell r="K552">
            <v>7</v>
          </cell>
          <cell r="L552"/>
          <cell r="M552" t="str">
            <v>Order</v>
          </cell>
          <cell r="N552" t="str">
            <v>Germany</v>
          </cell>
          <cell r="O552" t="str">
            <v>tkAW</v>
          </cell>
          <cell r="P552" t="str">
            <v>8 weeks</v>
          </cell>
          <cell r="Q552"/>
          <cell r="R552"/>
        </row>
        <row r="553">
          <cell r="B553">
            <v>547</v>
          </cell>
          <cell r="C553">
            <v>1</v>
          </cell>
          <cell r="D553" t="str">
            <v>Buffer</v>
          </cell>
          <cell r="E553" t="str">
            <v>ОСП0007713</v>
          </cell>
          <cell r="F553">
            <v>40451519032</v>
          </cell>
          <cell r="G553" t="str">
            <v>6054073010</v>
          </cell>
          <cell r="H553" t="str">
            <v>Буфер гидравлический 1,6 м/с, O1C (970 - 3020 кг)</v>
          </cell>
          <cell r="I553" t="str">
            <v>Oilbuffer 1,6 m/s, O1C (970 - 3020 kg)</v>
          </cell>
          <cell r="J553" t="str">
            <v>шт</v>
          </cell>
          <cell r="K553">
            <v>7</v>
          </cell>
          <cell r="L553"/>
          <cell r="M553" t="str">
            <v>Order</v>
          </cell>
          <cell r="N553" t="str">
            <v>Germany</v>
          </cell>
          <cell r="O553" t="str">
            <v>tkAW</v>
          </cell>
          <cell r="P553" t="str">
            <v>8 weeks</v>
          </cell>
          <cell r="Q553"/>
          <cell r="R553"/>
        </row>
        <row r="554">
          <cell r="B554">
            <v>548</v>
          </cell>
          <cell r="C554">
            <v>0</v>
          </cell>
          <cell r="D554" t="str">
            <v>Buffer</v>
          </cell>
          <cell r="E554" t="str">
            <v>ОСП0006949</v>
          </cell>
          <cell r="F554">
            <v>46451502011</v>
          </cell>
          <cell r="G554" t="str">
            <v>6010S001000_04</v>
          </cell>
          <cell r="H554" t="str">
            <v>AY Опора буфера гидравлического, 440мм</v>
          </cell>
          <cell r="I554" t="str">
            <v>AY Oilbuffer support, 440mm</v>
          </cell>
          <cell r="J554" t="str">
            <v>шт</v>
          </cell>
          <cell r="K554">
            <v>7</v>
          </cell>
          <cell r="L554" t="str">
            <v>Assembly</v>
          </cell>
          <cell r="M554" t="str">
            <v>Order</v>
          </cell>
          <cell r="N554" t="str">
            <v>Russia</v>
          </cell>
          <cell r="O554" t="str">
            <v>Эталон</v>
          </cell>
          <cell r="P554" t="str">
            <v>4 weeks</v>
          </cell>
          <cell r="Q554"/>
          <cell r="R554"/>
        </row>
        <row r="555">
          <cell r="B555">
            <v>549</v>
          </cell>
          <cell r="C555">
            <v>0</v>
          </cell>
          <cell r="D555" t="str">
            <v>Buffer</v>
          </cell>
          <cell r="E555" t="str">
            <v>ОСП0010190</v>
          </cell>
          <cell r="F555"/>
          <cell r="G555" t="str">
            <v>6010S001000</v>
          </cell>
          <cell r="H555" t="str">
            <v>Опора буфера гидравлического, 440мм</v>
          </cell>
          <cell r="I555" t="str">
            <v>Oilbuffer support, 440mm</v>
          </cell>
          <cell r="J555" t="str">
            <v>шт</v>
          </cell>
          <cell r="K555"/>
          <cell r="L555"/>
          <cell r="M555" t="str">
            <v>Order</v>
          </cell>
          <cell r="N555" t="str">
            <v>Russia</v>
          </cell>
          <cell r="O555" t="str">
            <v>Эталон</v>
          </cell>
          <cell r="P555" t="str">
            <v>4 weeks</v>
          </cell>
          <cell r="Q555"/>
          <cell r="R555"/>
        </row>
        <row r="556">
          <cell r="B556">
            <v>550</v>
          </cell>
          <cell r="C556">
            <v>0</v>
          </cell>
          <cell r="D556" t="str">
            <v>Buffer</v>
          </cell>
          <cell r="E556" t="str">
            <v>ОСП0006950</v>
          </cell>
          <cell r="F556">
            <v>46451502012</v>
          </cell>
          <cell r="G556" t="str">
            <v>6010S001000_04</v>
          </cell>
          <cell r="H556" t="str">
            <v>AY Опора буфера гидравлического, 540мм</v>
          </cell>
          <cell r="I556" t="str">
            <v>AY Oilbuffer support, 540mm</v>
          </cell>
          <cell r="J556" t="str">
            <v>шт</v>
          </cell>
          <cell r="K556">
            <v>7</v>
          </cell>
          <cell r="L556" t="str">
            <v>Assembly</v>
          </cell>
          <cell r="M556" t="str">
            <v>Order</v>
          </cell>
          <cell r="N556" t="str">
            <v>Russia</v>
          </cell>
          <cell r="O556" t="str">
            <v>Эталон</v>
          </cell>
          <cell r="P556" t="str">
            <v>4 weeks</v>
          </cell>
          <cell r="Q556"/>
          <cell r="R556"/>
        </row>
        <row r="557">
          <cell r="B557">
            <v>551</v>
          </cell>
          <cell r="C557">
            <v>0</v>
          </cell>
          <cell r="D557" t="str">
            <v>Buffer</v>
          </cell>
          <cell r="E557" t="str">
            <v>ОСП0010191</v>
          </cell>
          <cell r="F557"/>
          <cell r="G557" t="str">
            <v>6010S001000</v>
          </cell>
          <cell r="H557" t="str">
            <v>Опора буфера гидравлического, 540мм</v>
          </cell>
          <cell r="I557" t="str">
            <v>Oilbuffer support, 540mm</v>
          </cell>
          <cell r="J557" t="str">
            <v>шт</v>
          </cell>
          <cell r="K557"/>
          <cell r="L557"/>
          <cell r="M557" t="str">
            <v>Order</v>
          </cell>
          <cell r="N557" t="str">
            <v>Russia</v>
          </cell>
          <cell r="O557" t="str">
            <v>Эталон</v>
          </cell>
          <cell r="P557" t="str">
            <v>4 weeks</v>
          </cell>
          <cell r="Q557"/>
          <cell r="R557"/>
        </row>
        <row r="558">
          <cell r="B558">
            <v>552</v>
          </cell>
          <cell r="C558">
            <v>0</v>
          </cell>
          <cell r="D558" t="str">
            <v>Buffer</v>
          </cell>
          <cell r="E558" t="str">
            <v>ОСП0007874</v>
          </cell>
          <cell r="F558">
            <v>46451502013</v>
          </cell>
          <cell r="G558" t="str">
            <v>6010S001000_04</v>
          </cell>
          <cell r="H558" t="str">
            <v>AY Опора буфера гидравлического, 990мм</v>
          </cell>
          <cell r="I558" t="str">
            <v>AY Oilbuffer support, 990mm</v>
          </cell>
          <cell r="J558" t="str">
            <v>шт</v>
          </cell>
          <cell r="K558">
            <v>7</v>
          </cell>
          <cell r="L558" t="str">
            <v>Assembly</v>
          </cell>
          <cell r="M558" t="str">
            <v>Order</v>
          </cell>
          <cell r="N558" t="str">
            <v>Russia</v>
          </cell>
          <cell r="O558" t="str">
            <v>Эталон</v>
          </cell>
          <cell r="P558" t="str">
            <v>4 weeks</v>
          </cell>
          <cell r="Q558"/>
          <cell r="R558"/>
        </row>
        <row r="559">
          <cell r="B559">
            <v>553</v>
          </cell>
          <cell r="C559">
            <v>0</v>
          </cell>
          <cell r="D559" t="str">
            <v>Buffer</v>
          </cell>
          <cell r="E559" t="str">
            <v>ОСП0010192</v>
          </cell>
          <cell r="F559"/>
          <cell r="G559" t="str">
            <v>6010S001000</v>
          </cell>
          <cell r="H559" t="str">
            <v>Опора буфера гидравлического, 990мм</v>
          </cell>
          <cell r="I559" t="str">
            <v>Oilbuffer support, 990mm</v>
          </cell>
          <cell r="J559" t="str">
            <v>шт</v>
          </cell>
          <cell r="K559"/>
          <cell r="L559"/>
          <cell r="M559" t="str">
            <v>Order</v>
          </cell>
          <cell r="N559" t="str">
            <v>Russia</v>
          </cell>
          <cell r="O559" t="str">
            <v>Эталон</v>
          </cell>
          <cell r="P559" t="str">
            <v>4 weeks</v>
          </cell>
          <cell r="Q559"/>
          <cell r="R559"/>
        </row>
        <row r="560">
          <cell r="B560">
            <v>554</v>
          </cell>
          <cell r="C560">
            <v>0</v>
          </cell>
          <cell r="D560" t="str">
            <v>Buffer</v>
          </cell>
          <cell r="E560" t="str">
            <v>ОСП0009790</v>
          </cell>
          <cell r="F560">
            <v>46451502025</v>
          </cell>
          <cell r="G560" t="str">
            <v>60210002_00</v>
          </cell>
          <cell r="H560" t="str">
            <v>AY Опора буфера, 580 мм (вкл. буфер EN2)</v>
          </cell>
          <cell r="I560" t="str">
            <v>AY Buffer support, 580 mm (incl. buffer EN2)</v>
          </cell>
          <cell r="J560" t="str">
            <v>компл</v>
          </cell>
          <cell r="K560">
            <v>7</v>
          </cell>
          <cell r="L560" t="str">
            <v>Assembly</v>
          </cell>
          <cell r="M560" t="str">
            <v>Order</v>
          </cell>
          <cell r="N560" t="str">
            <v>Russia</v>
          </cell>
          <cell r="O560" t="str">
            <v>Эталон</v>
          </cell>
          <cell r="P560" t="str">
            <v>4 weeks</v>
          </cell>
          <cell r="Q560"/>
          <cell r="R560"/>
        </row>
        <row r="561">
          <cell r="B561">
            <v>555</v>
          </cell>
          <cell r="C561">
            <v>0</v>
          </cell>
          <cell r="D561" t="str">
            <v>Buffer</v>
          </cell>
          <cell r="E561" t="str">
            <v>ОСП0009791</v>
          </cell>
          <cell r="F561"/>
          <cell r="G561" t="str">
            <v>60210002</v>
          </cell>
          <cell r="H561" t="str">
            <v>Опора буфера, 580 мм (вкл. буфер EN2)</v>
          </cell>
          <cell r="I561" t="str">
            <v>Buffer support, 580 mm (incl. buffer EN2)</v>
          </cell>
          <cell r="J561" t="str">
            <v>шт</v>
          </cell>
          <cell r="K561"/>
          <cell r="L561"/>
          <cell r="M561" t="str">
            <v>Order</v>
          </cell>
          <cell r="N561" t="str">
            <v>Russia</v>
          </cell>
          <cell r="O561" t="str">
            <v>Эталон</v>
          </cell>
          <cell r="P561" t="str">
            <v>4 weeks</v>
          </cell>
          <cell r="Q561"/>
          <cell r="R561"/>
        </row>
        <row r="562">
          <cell r="B562">
            <v>556</v>
          </cell>
          <cell r="C562">
            <v>0</v>
          </cell>
          <cell r="D562" t="str">
            <v>Buffer</v>
          </cell>
          <cell r="E562" t="str">
            <v>ОСП0009789</v>
          </cell>
          <cell r="F562">
            <v>46451502014</v>
          </cell>
          <cell r="G562" t="str">
            <v>60210001_00</v>
          </cell>
          <cell r="H562" t="str">
            <v>AY Опора буфера гидравлического, 260мм</v>
          </cell>
          <cell r="I562" t="str">
            <v>AY Oilbuffer support, 260mm</v>
          </cell>
          <cell r="J562" t="str">
            <v>шт</v>
          </cell>
          <cell r="K562">
            <v>7</v>
          </cell>
          <cell r="L562" t="str">
            <v>Assembly</v>
          </cell>
          <cell r="M562" t="str">
            <v>Order</v>
          </cell>
          <cell r="N562" t="str">
            <v>Russia</v>
          </cell>
          <cell r="O562" t="str">
            <v>Эталон</v>
          </cell>
          <cell r="P562" t="str">
            <v>4 weeks</v>
          </cell>
          <cell r="Q562"/>
          <cell r="R562"/>
        </row>
        <row r="563">
          <cell r="B563">
            <v>557</v>
          </cell>
          <cell r="C563">
            <v>0</v>
          </cell>
          <cell r="D563" t="str">
            <v>Buffer</v>
          </cell>
          <cell r="E563" t="str">
            <v>ОСП0010193</v>
          </cell>
          <cell r="F563"/>
          <cell r="G563" t="str">
            <v>60210001</v>
          </cell>
          <cell r="H563" t="str">
            <v>Опора буфера гидравлического, 260мм</v>
          </cell>
          <cell r="I563" t="str">
            <v>Oilbuffer support, 260mm</v>
          </cell>
          <cell r="J563" t="str">
            <v>шт</v>
          </cell>
          <cell r="K563"/>
          <cell r="L563"/>
          <cell r="M563" t="str">
            <v>Order</v>
          </cell>
          <cell r="N563" t="str">
            <v>Russia</v>
          </cell>
          <cell r="O563" t="str">
            <v>Эталон</v>
          </cell>
          <cell r="P563" t="str">
            <v>4 weeks</v>
          </cell>
          <cell r="Q563"/>
          <cell r="R563"/>
        </row>
        <row r="564">
          <cell r="B564">
            <v>558</v>
          </cell>
          <cell r="C564">
            <v>1</v>
          </cell>
          <cell r="D564" t="str">
            <v>Buffer</v>
          </cell>
          <cell r="E564" t="str">
            <v>ОСП0006700</v>
          </cell>
          <cell r="F564">
            <v>90451519024</v>
          </cell>
          <cell r="G564" t="str">
            <v>320202</v>
          </cell>
          <cell r="H564" t="str">
            <v>Буфер EN2 (190 - 3240 кг)</v>
          </cell>
          <cell r="I564" t="str">
            <v>PU buffer EN2 (190 - 3240 kg)</v>
          </cell>
          <cell r="J564" t="str">
            <v>шт</v>
          </cell>
          <cell r="K564">
            <v>7</v>
          </cell>
          <cell r="L564"/>
          <cell r="M564" t="str">
            <v>Stock</v>
          </cell>
          <cell r="N564" t="str">
            <v>Germany</v>
          </cell>
          <cell r="O564" t="str">
            <v>tkAW</v>
          </cell>
          <cell r="P564" t="str">
            <v>8 weeks</v>
          </cell>
          <cell r="Q564"/>
          <cell r="R564"/>
        </row>
        <row r="565">
          <cell r="B565">
            <v>559</v>
          </cell>
          <cell r="C565">
            <v>1</v>
          </cell>
          <cell r="D565" t="str">
            <v>Communication</v>
          </cell>
          <cell r="E565" t="str">
            <v>ОСП0006910</v>
          </cell>
          <cell r="F565">
            <v>46405101031</v>
          </cell>
          <cell r="G565" t="str">
            <v>ОБЬ 465213 .099-02.02</v>
          </cell>
          <cell r="H565" t="str">
            <v>Система связи лифта ЛКДС ОБЬ</v>
          </cell>
          <cell r="I565" t="str">
            <v>Voice intercom LKDS OB</v>
          </cell>
          <cell r="J565" t="str">
            <v>компл</v>
          </cell>
          <cell r="K565">
            <v>18</v>
          </cell>
          <cell r="L565"/>
          <cell r="M565" t="str">
            <v>Stock</v>
          </cell>
          <cell r="N565" t="str">
            <v>Russia</v>
          </cell>
          <cell r="O565" t="str">
            <v>ЛКДС</v>
          </cell>
          <cell r="P565" t="str">
            <v>3 weeks</v>
          </cell>
          <cell r="Q565"/>
          <cell r="R565"/>
        </row>
        <row r="566">
          <cell r="B566">
            <v>560</v>
          </cell>
          <cell r="C566">
            <v>1</v>
          </cell>
          <cell r="D566" t="str">
            <v>Communication</v>
          </cell>
          <cell r="E566" t="str">
            <v>ОСП0006198</v>
          </cell>
          <cell r="F566">
            <v>46405101021</v>
          </cell>
          <cell r="G566" t="str">
            <v>ОБЬ 465213 .099-02.0</v>
          </cell>
          <cell r="H566" t="str">
            <v>Система связи лифта ЛКДС ОБЬ (с ППП)</v>
          </cell>
          <cell r="I566" t="str">
            <v>Voice intercom LKDS OB (for FFL)</v>
          </cell>
          <cell r="J566" t="str">
            <v>компл</v>
          </cell>
          <cell r="K566">
            <v>18</v>
          </cell>
          <cell r="L566"/>
          <cell r="M566" t="str">
            <v>Stock</v>
          </cell>
          <cell r="N566" t="str">
            <v>Russia</v>
          </cell>
          <cell r="O566" t="str">
            <v>ЛКДС</v>
          </cell>
          <cell r="P566" t="str">
            <v>3 weeks</v>
          </cell>
          <cell r="Q566"/>
          <cell r="R566"/>
        </row>
        <row r="567">
          <cell r="B567">
            <v>561</v>
          </cell>
          <cell r="C567">
            <v>1</v>
          </cell>
          <cell r="D567" t="str">
            <v>Communication</v>
          </cell>
          <cell r="E567" t="str">
            <v>ОСП0006909</v>
          </cell>
          <cell r="F567">
            <v>46405101030</v>
          </cell>
          <cell r="G567" t="str">
            <v>ОБЬ 465213.160-38</v>
          </cell>
          <cell r="H567" t="str">
            <v>Блок лифтовой 6.0-TP</v>
          </cell>
          <cell r="I567" t="str">
            <v>Intercom LKDS Lift Unit 6.0 TR</v>
          </cell>
          <cell r="J567" t="str">
            <v>шт</v>
          </cell>
          <cell r="K567">
            <v>18</v>
          </cell>
          <cell r="L567"/>
          <cell r="M567" t="str">
            <v>Stock</v>
          </cell>
          <cell r="N567" t="str">
            <v>Russia</v>
          </cell>
          <cell r="O567" t="str">
            <v>ЛКДС</v>
          </cell>
          <cell r="P567" t="str">
            <v>3 weeks</v>
          </cell>
          <cell r="Q567"/>
          <cell r="R567"/>
        </row>
        <row r="568">
          <cell r="B568">
            <v>562</v>
          </cell>
          <cell r="C568">
            <v>1</v>
          </cell>
          <cell r="D568" t="str">
            <v>Communication</v>
          </cell>
          <cell r="E568" t="str">
            <v>МП0002454</v>
          </cell>
          <cell r="F568">
            <v>46405101034</v>
          </cell>
          <cell r="G568"/>
          <cell r="H568" t="str">
            <v>Монтажный комплект для ЛБ v.6.0</v>
          </cell>
          <cell r="I568" t="str">
            <v>Intercom LKDS interface cable / Wiring installation kit</v>
          </cell>
          <cell r="J568" t="str">
            <v>шт</v>
          </cell>
          <cell r="K568">
            <v>18</v>
          </cell>
          <cell r="L568"/>
          <cell r="M568" t="str">
            <v>Stock</v>
          </cell>
          <cell r="N568" t="str">
            <v>Russia</v>
          </cell>
          <cell r="O568" t="str">
            <v>ЛКДС</v>
          </cell>
          <cell r="P568" t="str">
            <v>3 weeks</v>
          </cell>
          <cell r="Q568"/>
          <cell r="R568"/>
        </row>
        <row r="569">
          <cell r="B569">
            <v>563</v>
          </cell>
          <cell r="C569">
            <v>1</v>
          </cell>
          <cell r="D569" t="str">
            <v>Communication</v>
          </cell>
          <cell r="E569" t="str">
            <v>МП0001248</v>
          </cell>
          <cell r="F569">
            <v>46405101035</v>
          </cell>
          <cell r="G569" t="str">
            <v>ОБЬ ЛНГС.465213.050-10</v>
          </cell>
          <cell r="H569" t="str">
            <v>Контроллер локальной шины - Pro к-т</v>
          </cell>
          <cell r="I569" t="str">
            <v>Intercom LKDS Local Bus Controller Pro, set</v>
          </cell>
          <cell r="J569" t="str">
            <v>шт</v>
          </cell>
          <cell r="K569">
            <v>18</v>
          </cell>
          <cell r="L569"/>
          <cell r="M569" t="str">
            <v>Stock</v>
          </cell>
          <cell r="N569" t="str">
            <v>Russia</v>
          </cell>
          <cell r="O569" t="str">
            <v>ЛКДС</v>
          </cell>
          <cell r="P569" t="str">
            <v>3 weeks</v>
          </cell>
          <cell r="Q569"/>
          <cell r="R569"/>
        </row>
        <row r="570">
          <cell r="B570">
            <v>564</v>
          </cell>
          <cell r="C570">
            <v>1</v>
          </cell>
          <cell r="D570" t="str">
            <v>Other</v>
          </cell>
          <cell r="E570" t="str">
            <v>ОСП0009153</v>
          </cell>
          <cell r="F570">
            <v>46456606041</v>
          </cell>
          <cell r="G570" t="str">
            <v>60250002_00</v>
          </cell>
          <cell r="H570" t="str">
            <v>AY Направляющая концевого выключателя, крепёж T70</v>
          </cell>
          <cell r="I570" t="str">
            <v>AY Final limit switch cam, fixation T70</v>
          </cell>
          <cell r="J570" t="str">
            <v>компл</v>
          </cell>
          <cell r="K570">
            <v>17</v>
          </cell>
          <cell r="L570" t="str">
            <v>Assembly</v>
          </cell>
          <cell r="M570" t="str">
            <v>Stock</v>
          </cell>
          <cell r="N570" t="str">
            <v>Russia</v>
          </cell>
          <cell r="O570" t="str">
            <v>Эталон</v>
          </cell>
          <cell r="P570" t="str">
            <v>4 weeks</v>
          </cell>
          <cell r="Q570"/>
          <cell r="R570"/>
        </row>
        <row r="571">
          <cell r="B571">
            <v>565</v>
          </cell>
          <cell r="C571">
            <v>1</v>
          </cell>
          <cell r="D571" t="str">
            <v>Other</v>
          </cell>
          <cell r="E571" t="str">
            <v>ОСП0009154</v>
          </cell>
          <cell r="F571">
            <v>46456606042</v>
          </cell>
          <cell r="G571" t="str">
            <v>60250002_00</v>
          </cell>
          <cell r="H571" t="str">
            <v>AY Направляющая концевого выключателя, крепёж T90</v>
          </cell>
          <cell r="I571" t="str">
            <v>AY Final limit switch cam, fixation T90</v>
          </cell>
          <cell r="J571" t="str">
            <v>компл</v>
          </cell>
          <cell r="K571">
            <v>17</v>
          </cell>
          <cell r="L571" t="str">
            <v>Assembly</v>
          </cell>
          <cell r="M571" t="str">
            <v>Stock</v>
          </cell>
          <cell r="N571" t="str">
            <v>Russia</v>
          </cell>
          <cell r="O571" t="str">
            <v>Эталон</v>
          </cell>
          <cell r="P571" t="str">
            <v>4 weeks</v>
          </cell>
          <cell r="Q571"/>
          <cell r="R571"/>
        </row>
        <row r="572">
          <cell r="B572">
            <v>566</v>
          </cell>
          <cell r="C572">
            <v>1</v>
          </cell>
          <cell r="D572" t="str">
            <v>Other</v>
          </cell>
          <cell r="E572" t="str">
            <v>ОСП0009083</v>
          </cell>
          <cell r="F572">
            <v>46456606040</v>
          </cell>
          <cell r="G572" t="str">
            <v>60250002</v>
          </cell>
          <cell r="H572" t="str">
            <v>Направляющая концевого выключателя</v>
          </cell>
          <cell r="I572" t="str">
            <v>Limit switch cam</v>
          </cell>
          <cell r="J572" t="str">
            <v>компл</v>
          </cell>
          <cell r="K572"/>
          <cell r="L572"/>
          <cell r="M572" t="str">
            <v>Stock</v>
          </cell>
          <cell r="N572" t="str">
            <v>Russia</v>
          </cell>
          <cell r="O572" t="str">
            <v>Эталон</v>
          </cell>
          <cell r="P572" t="str">
            <v>4 weeks</v>
          </cell>
          <cell r="Q572"/>
          <cell r="R572"/>
        </row>
        <row r="573">
          <cell r="B573">
            <v>567</v>
          </cell>
          <cell r="C573">
            <v>1</v>
          </cell>
          <cell r="D573" t="str">
            <v>Other</v>
          </cell>
          <cell r="E573" t="str">
            <v>ОСП0006417</v>
          </cell>
          <cell r="F573">
            <v>46456603010</v>
          </cell>
          <cell r="G573"/>
          <cell r="H573" t="str">
            <v>Амортизатор рамы лебедки</v>
          </cell>
          <cell r="I573" t="str">
            <v>AY Machine isolation / Rubber 100x100x50 + plywood 140x140x80)</v>
          </cell>
          <cell r="J573" t="str">
            <v>шт</v>
          </cell>
          <cell r="K573"/>
          <cell r="L573"/>
          <cell r="M573" t="str">
            <v>Stock</v>
          </cell>
          <cell r="N573" t="str">
            <v>Russia</v>
          </cell>
          <cell r="O573" t="str">
            <v>Медтехпром</v>
          </cell>
          <cell r="P573" t="str">
            <v>6 weeks</v>
          </cell>
          <cell r="Q573"/>
          <cell r="R573"/>
        </row>
        <row r="574">
          <cell r="B574">
            <v>568</v>
          </cell>
          <cell r="C574">
            <v>1</v>
          </cell>
          <cell r="D574" t="str">
            <v>Other</v>
          </cell>
          <cell r="E574" t="str">
            <v>ОСП0000473</v>
          </cell>
          <cell r="F574">
            <v>40456603102</v>
          </cell>
          <cell r="G574" t="str">
            <v>6073027010</v>
          </cell>
          <cell r="H574" t="str">
            <v>Башмак L127, k = 16 мм</v>
          </cell>
          <cell r="I574" t="str">
            <v>Guide shoe L127, k = 16 mm</v>
          </cell>
          <cell r="J574" t="str">
            <v>шт</v>
          </cell>
          <cell r="K574">
            <v>9</v>
          </cell>
          <cell r="L574"/>
          <cell r="M574" t="str">
            <v>Stock</v>
          </cell>
          <cell r="N574" t="str">
            <v>Germany</v>
          </cell>
          <cell r="O574" t="str">
            <v>tkAW</v>
          </cell>
          <cell r="P574" t="str">
            <v>6-8 weeks</v>
          </cell>
          <cell r="Q574"/>
          <cell r="R574"/>
        </row>
        <row r="575">
          <cell r="B575">
            <v>569</v>
          </cell>
          <cell r="C575">
            <v>1</v>
          </cell>
          <cell r="D575" t="str">
            <v>Other</v>
          </cell>
          <cell r="E575" t="str">
            <v>МП0000548</v>
          </cell>
          <cell r="F575">
            <v>40456603101</v>
          </cell>
          <cell r="G575" t="str">
            <v>6073063010</v>
          </cell>
          <cell r="H575" t="str">
            <v>Башмак L127, k = 9 мм</v>
          </cell>
          <cell r="I575" t="str">
            <v>Guide shoe L127, k = 9 mm</v>
          </cell>
          <cell r="J575" t="str">
            <v>шт</v>
          </cell>
          <cell r="K575">
            <v>9</v>
          </cell>
          <cell r="L575"/>
          <cell r="M575" t="str">
            <v>Stock</v>
          </cell>
          <cell r="N575" t="str">
            <v>Germany</v>
          </cell>
          <cell r="O575" t="str">
            <v>tkAW</v>
          </cell>
          <cell r="P575" t="str">
            <v>6-8 weeks</v>
          </cell>
          <cell r="Q575"/>
          <cell r="R575"/>
        </row>
        <row r="576">
          <cell r="B576">
            <v>570</v>
          </cell>
          <cell r="C576">
            <v>1</v>
          </cell>
          <cell r="D576" t="str">
            <v>Other</v>
          </cell>
          <cell r="E576" t="str">
            <v>ММ0000069</v>
          </cell>
          <cell r="F576">
            <v>40456603103</v>
          </cell>
          <cell r="G576" t="str">
            <v>6073073010</v>
          </cell>
          <cell r="H576" t="str">
            <v>Башмак L60, k = 5 мм</v>
          </cell>
          <cell r="I576" t="str">
            <v>Guide shoe L60, k = 5 mm</v>
          </cell>
          <cell r="J576" t="str">
            <v>шт</v>
          </cell>
          <cell r="K576">
            <v>8</v>
          </cell>
          <cell r="L576"/>
          <cell r="M576" t="str">
            <v>Stock</v>
          </cell>
          <cell r="N576" t="str">
            <v>Germany</v>
          </cell>
          <cell r="O576" t="str">
            <v>tkAW</v>
          </cell>
          <cell r="P576" t="str">
            <v>6-8 weeks</v>
          </cell>
          <cell r="Q576"/>
          <cell r="R576"/>
        </row>
        <row r="577">
          <cell r="B577">
            <v>571</v>
          </cell>
          <cell r="C577">
            <v>1</v>
          </cell>
          <cell r="D577" t="str">
            <v>Other</v>
          </cell>
          <cell r="E577" t="str">
            <v>ОСП0000433</v>
          </cell>
          <cell r="F577">
            <v>40450602010</v>
          </cell>
          <cell r="G577" t="str">
            <v>6072054420</v>
          </cell>
          <cell r="H577" t="str">
            <v>Блок отводной D360x7xd8 V45</v>
          </cell>
          <cell r="I577" t="str">
            <v>Rope deflection pulley D360x7xd8 V45</v>
          </cell>
          <cell r="J577" t="str">
            <v>шт</v>
          </cell>
          <cell r="K577"/>
          <cell r="L577"/>
          <cell r="M577" t="str">
            <v>Stock</v>
          </cell>
          <cell r="N577" t="str">
            <v>Germany</v>
          </cell>
          <cell r="O577" t="str">
            <v>tkAW</v>
          </cell>
          <cell r="P577" t="str">
            <v>6-8 weeks</v>
          </cell>
          <cell r="Q577"/>
          <cell r="R577"/>
        </row>
        <row r="578">
          <cell r="B578">
            <v>572</v>
          </cell>
          <cell r="C578">
            <v>1</v>
          </cell>
          <cell r="D578" t="str">
            <v>Other</v>
          </cell>
          <cell r="E578" t="str">
            <v>ОСП0006701</v>
          </cell>
          <cell r="F578">
            <v>40450602011</v>
          </cell>
          <cell r="G578" t="str">
            <v>60720009358</v>
          </cell>
          <cell r="H578" t="str">
            <v>Блок отводной D450х7хd11 V41</v>
          </cell>
          <cell r="I578" t="str">
            <v>Rope deflection pulley D450х7хd11 V41</v>
          </cell>
          <cell r="J578" t="str">
            <v>шт</v>
          </cell>
          <cell r="K578"/>
          <cell r="L578"/>
          <cell r="M578" t="str">
            <v>Stock</v>
          </cell>
          <cell r="N578" t="str">
            <v>Germany</v>
          </cell>
          <cell r="O578" t="str">
            <v>tkAW</v>
          </cell>
          <cell r="P578" t="str">
            <v>6-8 weeks</v>
          </cell>
          <cell r="Q578"/>
          <cell r="R578"/>
        </row>
        <row r="579">
          <cell r="B579">
            <v>573</v>
          </cell>
          <cell r="C579">
            <v>1</v>
          </cell>
          <cell r="D579" t="str">
            <v>Other</v>
          </cell>
          <cell r="E579" t="str">
            <v>ОСП0006119</v>
          </cell>
          <cell r="F579">
            <v>40451523020</v>
          </cell>
          <cell r="G579" t="str">
            <v>6072334320</v>
          </cell>
          <cell r="H579" t="str">
            <v>Ось D50x190</v>
          </cell>
          <cell r="I579" t="str">
            <v>Axle D50x190</v>
          </cell>
          <cell r="J579" t="str">
            <v>шт</v>
          </cell>
          <cell r="K579"/>
          <cell r="L579"/>
          <cell r="M579" t="str">
            <v>Stock</v>
          </cell>
          <cell r="N579" t="str">
            <v>Germany</v>
          </cell>
          <cell r="O579" t="str">
            <v>tkAW</v>
          </cell>
          <cell r="P579" t="str">
            <v>6-8 weeks</v>
          </cell>
          <cell r="Q579"/>
          <cell r="R579"/>
        </row>
        <row r="580">
          <cell r="B580">
            <v>574</v>
          </cell>
          <cell r="C580">
            <v>1</v>
          </cell>
          <cell r="D580" t="str">
            <v>Other</v>
          </cell>
          <cell r="E580" t="str">
            <v>ОСП0006120</v>
          </cell>
          <cell r="F580">
            <v>40451523021</v>
          </cell>
          <cell r="G580" t="str">
            <v>6072335320</v>
          </cell>
          <cell r="H580" t="str">
            <v>Ось D60x216</v>
          </cell>
          <cell r="I580" t="str">
            <v>Axle D60x216</v>
          </cell>
          <cell r="J580" t="str">
            <v>шт</v>
          </cell>
          <cell r="K580"/>
          <cell r="L580"/>
          <cell r="M580" t="str">
            <v>Stock</v>
          </cell>
          <cell r="N580" t="str">
            <v>Germany</v>
          </cell>
          <cell r="O580" t="str">
            <v>tkAW</v>
          </cell>
          <cell r="P580" t="str">
            <v>6-8 weeks</v>
          </cell>
          <cell r="Q580"/>
          <cell r="R580"/>
        </row>
        <row r="581">
          <cell r="B581">
            <v>575</v>
          </cell>
          <cell r="C581">
            <v>1</v>
          </cell>
          <cell r="D581" t="str">
            <v>Other</v>
          </cell>
          <cell r="E581" t="str">
            <v>ОСП0006126</v>
          </cell>
          <cell r="F581">
            <v>40451523010</v>
          </cell>
          <cell r="G581" t="str">
            <v>98103610</v>
          </cell>
          <cell r="H581" t="str">
            <v>Кронштейн оси 30x8x13</v>
          </cell>
          <cell r="I581" t="str">
            <v>Axle bracket 30x8x13</v>
          </cell>
          <cell r="J581" t="str">
            <v>шт</v>
          </cell>
          <cell r="K581"/>
          <cell r="L581"/>
          <cell r="M581" t="str">
            <v>Stock</v>
          </cell>
          <cell r="N581" t="str">
            <v>Germany</v>
          </cell>
          <cell r="O581" t="str">
            <v>tkAW</v>
          </cell>
          <cell r="P581" t="str">
            <v>6-8 weeks</v>
          </cell>
          <cell r="Q581"/>
          <cell r="R581"/>
        </row>
        <row r="582">
          <cell r="B582">
            <v>576</v>
          </cell>
          <cell r="C582">
            <v>1</v>
          </cell>
          <cell r="D582" t="str">
            <v>Other</v>
          </cell>
          <cell r="E582" t="str">
            <v>ОСП0003142</v>
          </cell>
          <cell r="F582">
            <v>46401511012</v>
          </cell>
          <cell r="G582" t="str">
            <v>99223220</v>
          </cell>
          <cell r="H582" t="str">
            <v>Выключатель концевой IP54</v>
          </cell>
          <cell r="I582" t="str">
            <v>Safety switch IP54 (forced open+forced close with special activation bar/pin)</v>
          </cell>
          <cell r="J582" t="str">
            <v>шт</v>
          </cell>
          <cell r="K582">
            <v>2</v>
          </cell>
          <cell r="L582"/>
          <cell r="M582" t="str">
            <v>Stock</v>
          </cell>
          <cell r="N582" t="str">
            <v>Germany</v>
          </cell>
          <cell r="O582" t="str">
            <v>tkAW</v>
          </cell>
          <cell r="P582" t="str">
            <v>6-8 weeks</v>
          </cell>
          <cell r="Q582"/>
          <cell r="R582"/>
        </row>
        <row r="583">
          <cell r="B583">
            <v>577</v>
          </cell>
          <cell r="C583">
            <v>1</v>
          </cell>
          <cell r="D583" t="str">
            <v>Other</v>
          </cell>
          <cell r="E583" t="str">
            <v>ОСП0004953</v>
          </cell>
          <cell r="F583">
            <v>46456603020</v>
          </cell>
          <cell r="G583" t="str">
            <v>FAA508A1</v>
          </cell>
          <cell r="H583" t="str">
            <v>Емкость PV для сбора масла направляющих</v>
          </cell>
          <cell r="I583" t="str">
            <v>Guide rail waste oil catcher</v>
          </cell>
          <cell r="J583" t="str">
            <v>шт</v>
          </cell>
          <cell r="K583">
            <v>17</v>
          </cell>
          <cell r="L583"/>
          <cell r="M583" t="str">
            <v>Stock</v>
          </cell>
          <cell r="N583" t="str">
            <v>Russia</v>
          </cell>
          <cell r="O583" t="str">
            <v>Медтехпром</v>
          </cell>
          <cell r="P583" t="str">
            <v>6 weeks</v>
          </cell>
          <cell r="Q583"/>
          <cell r="R583"/>
        </row>
        <row r="584">
          <cell r="B584">
            <v>578</v>
          </cell>
          <cell r="C584">
            <v>1</v>
          </cell>
          <cell r="D584" t="str">
            <v>Other</v>
          </cell>
          <cell r="E584" t="str">
            <v>ОСП0003511</v>
          </cell>
          <cell r="F584">
            <v>46401511011</v>
          </cell>
          <cell r="G584" t="str">
            <v>99000001946</v>
          </cell>
          <cell r="H584" t="str">
            <v>Защелка механическая для крышки люка</v>
          </cell>
          <cell r="I584" t="str">
            <v>Ledge for hatch door (handle with triangular lock)</v>
          </cell>
          <cell r="J584" t="str">
            <v>шт</v>
          </cell>
          <cell r="K584">
            <v>2</v>
          </cell>
          <cell r="L584"/>
          <cell r="M584" t="str">
            <v>Stock</v>
          </cell>
          <cell r="N584" t="str">
            <v>Germany</v>
          </cell>
          <cell r="O584" t="str">
            <v>tkAW</v>
          </cell>
          <cell r="P584" t="str">
            <v>6-8 weeks</v>
          </cell>
          <cell r="Q584"/>
          <cell r="R584"/>
        </row>
        <row r="585">
          <cell r="B585">
            <v>579</v>
          </cell>
          <cell r="C585">
            <v>1</v>
          </cell>
          <cell r="D585" t="str">
            <v>Other</v>
          </cell>
          <cell r="E585" t="str">
            <v>ОСП0007290</v>
          </cell>
          <cell r="F585">
            <v>46602107010</v>
          </cell>
          <cell r="G585"/>
          <cell r="H585" t="str">
            <v>Инструкция по монтажу SIMPLYCITY</v>
          </cell>
          <cell r="I585" t="str">
            <v>Installation manual SIMPLICITY</v>
          </cell>
          <cell r="J585" t="str">
            <v>шт</v>
          </cell>
          <cell r="K585">
            <v>2</v>
          </cell>
          <cell r="L585"/>
          <cell r="M585" t="str">
            <v>Stock</v>
          </cell>
          <cell r="N585" t="str">
            <v>Russia</v>
          </cell>
          <cell r="O585"/>
          <cell r="P585" t="str">
            <v>4 weeks</v>
          </cell>
          <cell r="Q585"/>
          <cell r="R585"/>
        </row>
        <row r="586">
          <cell r="B586">
            <v>580</v>
          </cell>
          <cell r="C586">
            <v>1</v>
          </cell>
          <cell r="D586" t="str">
            <v>Other</v>
          </cell>
          <cell r="E586" t="str">
            <v>ОСП0007291</v>
          </cell>
          <cell r="F586">
            <v>46602107011</v>
          </cell>
          <cell r="G586"/>
          <cell r="H586" t="str">
            <v>Инструкция по сервисному обслуживанию SIMPLYCITY</v>
          </cell>
          <cell r="I586" t="str">
            <v>Service manual SIMPLICITY</v>
          </cell>
          <cell r="J586" t="str">
            <v>шт</v>
          </cell>
          <cell r="K586">
            <v>2</v>
          </cell>
          <cell r="L586"/>
          <cell r="M586" t="str">
            <v>Stock</v>
          </cell>
          <cell r="N586" t="str">
            <v>Russia</v>
          </cell>
          <cell r="O586"/>
          <cell r="P586" t="str">
            <v>4 weeks</v>
          </cell>
          <cell r="Q586"/>
          <cell r="R586"/>
        </row>
        <row r="587">
          <cell r="B587">
            <v>581</v>
          </cell>
          <cell r="C587">
            <v>1</v>
          </cell>
          <cell r="D587" t="str">
            <v>Other</v>
          </cell>
          <cell r="E587" t="str">
            <v>ОСП0004665</v>
          </cell>
          <cell r="F587">
            <v>46401511013</v>
          </cell>
          <cell r="G587"/>
          <cell r="H587" t="str">
            <v>Кабель NYM 2х1,5</v>
          </cell>
          <cell r="I587" t="str">
            <v>Cable NYM 2х1,5</v>
          </cell>
          <cell r="J587" t="str">
            <v>м</v>
          </cell>
          <cell r="K587">
            <v>2</v>
          </cell>
          <cell r="L587"/>
          <cell r="M587" t="str">
            <v>Stock</v>
          </cell>
          <cell r="N587" t="str">
            <v>Russia</v>
          </cell>
          <cell r="O587"/>
          <cell r="P587" t="str">
            <v>2 weeks</v>
          </cell>
          <cell r="Q587"/>
          <cell r="R587"/>
        </row>
        <row r="588">
          <cell r="B588">
            <v>582</v>
          </cell>
          <cell r="C588">
            <v>1</v>
          </cell>
          <cell r="D588" t="str">
            <v>Other</v>
          </cell>
          <cell r="E588" t="str">
            <v>ОСП0007044</v>
          </cell>
          <cell r="F588">
            <v>46451520030</v>
          </cell>
          <cell r="G588"/>
          <cell r="H588" t="str">
            <v>Кабель UTP 2x2x0,5 AWG24 Cat.5e</v>
          </cell>
          <cell r="I588" t="str">
            <v>Cable UTP 2x2x0,5 AWG24 Cat.5e</v>
          </cell>
          <cell r="J588" t="str">
            <v>м</v>
          </cell>
          <cell r="K588">
            <v>18</v>
          </cell>
          <cell r="L588"/>
          <cell r="M588" t="str">
            <v>Stock</v>
          </cell>
          <cell r="N588" t="str">
            <v>Russia</v>
          </cell>
          <cell r="O588"/>
          <cell r="P588" t="str">
            <v>2 weeks</v>
          </cell>
          <cell r="Q588"/>
          <cell r="R588"/>
        </row>
        <row r="589">
          <cell r="B589">
            <v>583</v>
          </cell>
          <cell r="C589">
            <v>1</v>
          </cell>
          <cell r="D589" t="str">
            <v>Other</v>
          </cell>
          <cell r="E589" t="str">
            <v>ОСП0007241</v>
          </cell>
          <cell r="F589">
            <v>46400306010</v>
          </cell>
          <cell r="G589" t="str">
            <v>5001-001-0015</v>
          </cell>
          <cell r="H589" t="str">
            <v>Кабель-канал 100х40 мм</v>
          </cell>
          <cell r="I589" t="str">
            <v>Cable channel 100х40 mm</v>
          </cell>
          <cell r="J589" t="str">
            <v>м</v>
          </cell>
          <cell r="K589">
            <v>15</v>
          </cell>
          <cell r="L589"/>
          <cell r="M589" t="str">
            <v>Stock</v>
          </cell>
          <cell r="N589" t="str">
            <v>Russia</v>
          </cell>
          <cell r="O589"/>
          <cell r="P589" t="str">
            <v>2 days</v>
          </cell>
          <cell r="Q589"/>
          <cell r="R589"/>
        </row>
        <row r="590">
          <cell r="B590">
            <v>584</v>
          </cell>
          <cell r="C590">
            <v>1</v>
          </cell>
          <cell r="D590" t="str">
            <v>Other</v>
          </cell>
          <cell r="E590" t="str">
            <v>ОСП0005650</v>
          </cell>
          <cell r="F590">
            <v>46401511010</v>
          </cell>
          <cell r="G590"/>
          <cell r="H590" t="str">
            <v>Лента сигнальная клейкая ЗУБР, цвет желто-чёрный, 50 мм х 50 м</v>
          </cell>
          <cell r="I590" t="str">
            <v>Colored adhesive tapes 50 mm x 50 m (Black \ Yellow)</v>
          </cell>
          <cell r="J590" t="str">
            <v>шт</v>
          </cell>
          <cell r="K590">
            <v>17</v>
          </cell>
          <cell r="L590"/>
          <cell r="M590" t="str">
            <v>Stock</v>
          </cell>
          <cell r="N590" t="str">
            <v>Russia</v>
          </cell>
          <cell r="O590"/>
          <cell r="P590" t="str">
            <v>1 week</v>
          </cell>
          <cell r="Q590"/>
          <cell r="R590"/>
        </row>
        <row r="591">
          <cell r="B591">
            <v>585</v>
          </cell>
          <cell r="C591">
            <v>1</v>
          </cell>
          <cell r="D591" t="str">
            <v>Other</v>
          </cell>
          <cell r="E591" t="str">
            <v>ОСП0002973</v>
          </cell>
          <cell r="F591">
            <v>40456603000</v>
          </cell>
          <cell r="G591" t="str">
            <v>60740009201 (6074007010)</v>
          </cell>
          <cell r="H591" t="str">
            <v>Масленка</v>
          </cell>
          <cell r="I591" t="str">
            <v>Oiler</v>
          </cell>
          <cell r="J591" t="str">
            <v>шт</v>
          </cell>
          <cell r="K591">
            <v>17</v>
          </cell>
          <cell r="L591"/>
          <cell r="M591" t="str">
            <v>Stock</v>
          </cell>
          <cell r="N591" t="str">
            <v>Germany</v>
          </cell>
          <cell r="O591" t="str">
            <v>tkAW</v>
          </cell>
          <cell r="P591" t="str">
            <v>6-8 weeks</v>
          </cell>
          <cell r="Q591"/>
          <cell r="R591"/>
        </row>
        <row r="592">
          <cell r="B592">
            <v>586</v>
          </cell>
          <cell r="C592">
            <v>1</v>
          </cell>
          <cell r="D592" t="str">
            <v>Other</v>
          </cell>
          <cell r="E592" t="str">
            <v>ОСП0006505</v>
          </cell>
          <cell r="F592">
            <v>46451523003</v>
          </cell>
          <cell r="G592" t="str">
            <v>6030902960_02</v>
          </cell>
          <cell r="H592" t="str">
            <v>Ограждение канатного отверстия</v>
          </cell>
          <cell r="I592" t="str">
            <v>MR Floor cut out fencing</v>
          </cell>
          <cell r="J592" t="str">
            <v>шт</v>
          </cell>
          <cell r="K592">
            <v>17</v>
          </cell>
          <cell r="L592"/>
          <cell r="M592" t="str">
            <v>Stock</v>
          </cell>
          <cell r="N592" t="str">
            <v>Russia</v>
          </cell>
          <cell r="O592" t="str">
            <v>Эталон</v>
          </cell>
          <cell r="P592" t="str">
            <v>4 weeks</v>
          </cell>
          <cell r="Q592"/>
          <cell r="R592"/>
        </row>
        <row r="593">
          <cell r="B593">
            <v>587</v>
          </cell>
          <cell r="C593">
            <v>1</v>
          </cell>
          <cell r="D593" t="str">
            <v>Fixation</v>
          </cell>
          <cell r="E593" t="str">
            <v>ОСП0009410</v>
          </cell>
          <cell r="F593">
            <v>40402705100</v>
          </cell>
          <cell r="G593"/>
          <cell r="H593" t="str">
            <v>AY Винты крепления приказной панели</v>
          </cell>
          <cell r="I593" t="str">
            <v>AY COP fixation screws (M4+M3+Driver bit)</v>
          </cell>
          <cell r="J593" t="str">
            <v>набор</v>
          </cell>
          <cell r="K593">
            <v>2</v>
          </cell>
          <cell r="L593"/>
          <cell r="M593" t="str">
            <v>Stock</v>
          </cell>
          <cell r="N593" t="str">
            <v>Russia</v>
          </cell>
          <cell r="O593"/>
          <cell r="P593" t="str">
            <v>2-4 weeks</v>
          </cell>
          <cell r="Q593"/>
          <cell r="R593"/>
        </row>
        <row r="594">
          <cell r="B594">
            <v>588</v>
          </cell>
          <cell r="C594">
            <v>1</v>
          </cell>
          <cell r="D594" t="str">
            <v>Fixation</v>
          </cell>
          <cell r="E594" t="str">
            <v>ОСП0007026</v>
          </cell>
          <cell r="F594">
            <v>46452404002</v>
          </cell>
          <cell r="G594" t="str">
            <v>00371587RUS 5372490GmbH</v>
          </cell>
          <cell r="H594" t="str">
            <v>Анкер-шпил.отв.крепл. HST M12X115/20 HILTI</v>
          </cell>
          <cell r="I594" t="str">
            <v>Dowel HST M12X115/20 HILTI</v>
          </cell>
          <cell r="J594" t="str">
            <v>шт</v>
          </cell>
          <cell r="K594">
            <v>6</v>
          </cell>
          <cell r="L594"/>
          <cell r="M594" t="str">
            <v>Stock</v>
          </cell>
          <cell r="N594" t="str">
            <v>Germany</v>
          </cell>
          <cell r="O594" t="str">
            <v>tkAW</v>
          </cell>
          <cell r="P594" t="str">
            <v>6-8 weeks</v>
          </cell>
          <cell r="Q594"/>
          <cell r="R594"/>
        </row>
        <row r="595">
          <cell r="B595">
            <v>589</v>
          </cell>
          <cell r="C595">
            <v>1</v>
          </cell>
          <cell r="D595" t="str">
            <v>Fixation</v>
          </cell>
          <cell r="E595" t="str">
            <v>ОСП0007026</v>
          </cell>
          <cell r="F595">
            <v>46452404002</v>
          </cell>
          <cell r="G595" t="str">
            <v>00371587RUS 5372490GmbH</v>
          </cell>
          <cell r="H595" t="str">
            <v>Анкер-шпил.отв.крепл. HST M12X115/20 HILTI</v>
          </cell>
          <cell r="I595" t="str">
            <v>Dowel HST M12X115/20 HILTI</v>
          </cell>
          <cell r="J595" t="str">
            <v>шт</v>
          </cell>
          <cell r="K595">
            <v>4</v>
          </cell>
          <cell r="L595"/>
          <cell r="M595" t="str">
            <v>Stock</v>
          </cell>
          <cell r="N595" t="str">
            <v>Germany</v>
          </cell>
          <cell r="O595" t="str">
            <v>tkAW</v>
          </cell>
          <cell r="P595" t="str">
            <v>6-8 weeks</v>
          </cell>
          <cell r="Q595"/>
          <cell r="R595"/>
        </row>
        <row r="596">
          <cell r="B596">
            <v>590</v>
          </cell>
          <cell r="C596">
            <v>1</v>
          </cell>
          <cell r="D596" t="str">
            <v>Fixation</v>
          </cell>
          <cell r="E596" t="str">
            <v>ОСП0007026</v>
          </cell>
          <cell r="F596">
            <v>46452404002</v>
          </cell>
          <cell r="G596" t="str">
            <v>00371587RUS 5372490GmbH</v>
          </cell>
          <cell r="H596" t="str">
            <v>Анкер-шпил.отв.крепл. HST M12X115/20 HILTI</v>
          </cell>
          <cell r="I596" t="str">
            <v>Dowel HST M12X115/20 HILTI</v>
          </cell>
          <cell r="J596" t="str">
            <v>шт</v>
          </cell>
          <cell r="K596">
            <v>14</v>
          </cell>
          <cell r="L596"/>
          <cell r="M596" t="str">
            <v>Stock</v>
          </cell>
          <cell r="N596" t="str">
            <v>Germany</v>
          </cell>
          <cell r="O596" t="str">
            <v>tkAW</v>
          </cell>
          <cell r="P596" t="str">
            <v>6-8 weeks</v>
          </cell>
          <cell r="Q596"/>
          <cell r="R596"/>
        </row>
        <row r="597">
          <cell r="B597">
            <v>591</v>
          </cell>
          <cell r="C597">
            <v>1</v>
          </cell>
          <cell r="D597" t="str">
            <v>Fixation</v>
          </cell>
          <cell r="E597" t="str">
            <v>ОСП0007026</v>
          </cell>
          <cell r="F597">
            <v>46452404002</v>
          </cell>
          <cell r="G597" t="str">
            <v>00371587RUS 5372490GmbH</v>
          </cell>
          <cell r="H597" t="str">
            <v>Анкер-шпил.отв.крепл. HST M12X115/20 HILTI</v>
          </cell>
          <cell r="I597" t="str">
            <v>Dowel HST M12X115/20 HILTI</v>
          </cell>
          <cell r="J597" t="str">
            <v>шт</v>
          </cell>
          <cell r="K597">
            <v>7</v>
          </cell>
          <cell r="L597"/>
          <cell r="M597" t="str">
            <v>Stock</v>
          </cell>
          <cell r="N597" t="str">
            <v>Germany</v>
          </cell>
          <cell r="O597" t="str">
            <v>tkAW</v>
          </cell>
          <cell r="P597" t="str">
            <v>6-8 weeks</v>
          </cell>
          <cell r="Q597"/>
          <cell r="R597"/>
        </row>
        <row r="598">
          <cell r="B598">
            <v>592</v>
          </cell>
          <cell r="C598">
            <v>1</v>
          </cell>
          <cell r="D598" t="str">
            <v>Fixation</v>
          </cell>
          <cell r="E598" t="str">
            <v>ОСП0007225</v>
          </cell>
          <cell r="F598">
            <v>46452404005</v>
          </cell>
          <cell r="G598"/>
          <cell r="H598" t="str">
            <v>Анкер-шпилька CIXI CAVORT M8x50</v>
          </cell>
          <cell r="I598" t="str">
            <v>Dowel CIXI CAVORT WAM-100095 M8x50</v>
          </cell>
          <cell r="J598" t="str">
            <v>шт</v>
          </cell>
          <cell r="K598">
            <v>11</v>
          </cell>
          <cell r="L598"/>
          <cell r="M598" t="str">
            <v>Stock</v>
          </cell>
          <cell r="N598" t="str">
            <v>Russia</v>
          </cell>
          <cell r="O598"/>
          <cell r="P598" t="str">
            <v>2-4 weeks</v>
          </cell>
          <cell r="Q598"/>
          <cell r="R598"/>
        </row>
        <row r="599">
          <cell r="B599">
            <v>593</v>
          </cell>
          <cell r="C599">
            <v>1</v>
          </cell>
          <cell r="D599" t="str">
            <v>Fixation</v>
          </cell>
          <cell r="E599" t="str">
            <v>ОСП0007198</v>
          </cell>
          <cell r="F599">
            <v>46452404004</v>
          </cell>
          <cell r="G599"/>
          <cell r="H599" t="str">
            <v>Анкер-шпилька CIXI CAVORT WAM-100095 M10x95</v>
          </cell>
          <cell r="I599" t="str">
            <v>Dowel CIXI CAVORT WAM-100095 M10x95</v>
          </cell>
          <cell r="J599" t="str">
            <v>шт</v>
          </cell>
          <cell r="K599">
            <v>14</v>
          </cell>
          <cell r="L599"/>
          <cell r="M599" t="str">
            <v>Stock</v>
          </cell>
          <cell r="N599" t="str">
            <v>Russia</v>
          </cell>
          <cell r="O599"/>
          <cell r="P599" t="str">
            <v>2-4 weeks</v>
          </cell>
          <cell r="Q599"/>
          <cell r="R599"/>
        </row>
        <row r="600">
          <cell r="B600">
            <v>594</v>
          </cell>
          <cell r="C600">
            <v>0</v>
          </cell>
          <cell r="D600" t="str">
            <v>Fixation</v>
          </cell>
          <cell r="E600" t="str">
            <v>ОСП0006916</v>
          </cell>
          <cell r="F600">
            <v>46452404032</v>
          </cell>
          <cell r="G600"/>
          <cell r="H600" t="str">
            <v>Анкер-шпилька M12 (химический)</v>
          </cell>
          <cell r="I600" t="str">
            <v>AY Dowel M12 (chemical)</v>
          </cell>
          <cell r="J600" t="str">
            <v>шт</v>
          </cell>
          <cell r="K600">
            <v>4</v>
          </cell>
          <cell r="L600"/>
          <cell r="M600" t="str">
            <v>Order</v>
          </cell>
          <cell r="N600" t="str">
            <v>Russia</v>
          </cell>
          <cell r="O600"/>
          <cell r="P600" t="str">
            <v>2-4 weeks</v>
          </cell>
          <cell r="Q600"/>
          <cell r="R600"/>
        </row>
        <row r="601">
          <cell r="B601">
            <v>595</v>
          </cell>
          <cell r="C601">
            <v>0</v>
          </cell>
          <cell r="D601" t="str">
            <v>Fixation</v>
          </cell>
          <cell r="E601" t="str">
            <v>ОСП0006916</v>
          </cell>
          <cell r="F601">
            <v>46452404032</v>
          </cell>
          <cell r="G601"/>
          <cell r="H601" t="str">
            <v>Анкер-шпилька M12 (химический)</v>
          </cell>
          <cell r="I601" t="str">
            <v>AY Dowel M12 (chemical)</v>
          </cell>
          <cell r="J601" t="str">
            <v>шт</v>
          </cell>
          <cell r="K601">
            <v>14</v>
          </cell>
          <cell r="L601"/>
          <cell r="M601" t="str">
            <v>Order</v>
          </cell>
          <cell r="N601" t="str">
            <v>Russia</v>
          </cell>
          <cell r="O601"/>
          <cell r="P601" t="str">
            <v>2-4 weeks</v>
          </cell>
          <cell r="Q601"/>
          <cell r="R601"/>
        </row>
        <row r="602">
          <cell r="B602">
            <v>596</v>
          </cell>
          <cell r="C602">
            <v>1</v>
          </cell>
          <cell r="D602" t="str">
            <v>Fixation</v>
          </cell>
          <cell r="E602" t="str">
            <v>ОСП0006935</v>
          </cell>
          <cell r="F602">
            <v>40451514000</v>
          </cell>
          <cell r="G602" t="str">
            <v>S010012OS260K20</v>
          </cell>
          <cell r="H602" t="str">
            <v>Болт ушковый M12x260</v>
          </cell>
          <cell r="I602" t="str">
            <v>Eye bolt M12x260, D50x13x3, zinced (with 2 nuts and washer)</v>
          </cell>
          <cell r="J602" t="str">
            <v>шт</v>
          </cell>
          <cell r="K602"/>
          <cell r="L602"/>
          <cell r="M602" t="str">
            <v>Stock</v>
          </cell>
          <cell r="N602" t="str">
            <v>Germany</v>
          </cell>
          <cell r="O602" t="str">
            <v>Suther&amp;Schoen</v>
          </cell>
          <cell r="P602" t="str">
            <v>6 weeks</v>
          </cell>
          <cell r="Q602"/>
          <cell r="R602"/>
        </row>
        <row r="603">
          <cell r="B603">
            <v>597</v>
          </cell>
          <cell r="C603">
            <v>1</v>
          </cell>
          <cell r="D603" t="str">
            <v>Fixation</v>
          </cell>
          <cell r="E603" t="str">
            <v>ОСП0006936</v>
          </cell>
          <cell r="F603">
            <v>40451514022</v>
          </cell>
          <cell r="G603" t="str">
            <v>S010016OS300K20</v>
          </cell>
          <cell r="H603" t="str">
            <v>Болт ушковый M16x300</v>
          </cell>
          <cell r="I603" t="str">
            <v>Eye bolt M16x300, with big eye, with washer 56x17,7x5, with 2 nuts and split-pin</v>
          </cell>
          <cell r="J603" t="str">
            <v>шт</v>
          </cell>
          <cell r="K603"/>
          <cell r="L603"/>
          <cell r="M603" t="str">
            <v>Stock</v>
          </cell>
          <cell r="N603" t="str">
            <v>Germany</v>
          </cell>
          <cell r="O603" t="str">
            <v>Suther&amp;Schoen</v>
          </cell>
          <cell r="P603" t="str">
            <v>6 weeks</v>
          </cell>
          <cell r="Q603"/>
          <cell r="R603"/>
        </row>
        <row r="604">
          <cell r="B604">
            <v>598</v>
          </cell>
          <cell r="C604">
            <v>1</v>
          </cell>
          <cell r="D604" t="str">
            <v>Fixation</v>
          </cell>
          <cell r="E604" t="str">
            <v>ОСП0007233</v>
          </cell>
          <cell r="F604">
            <v>40451523041</v>
          </cell>
          <cell r="G604"/>
          <cell r="H604" t="str">
            <v>Болт шестигранный M10x45 DIN 933, к.п. 8.8, оцинкованный</v>
          </cell>
          <cell r="I604" t="str">
            <v>Hexagon screw M10x45 DIN 933, 8.8, zinced</v>
          </cell>
          <cell r="J604" t="str">
            <v>шт</v>
          </cell>
          <cell r="K604">
            <v>11</v>
          </cell>
          <cell r="L604"/>
          <cell r="M604" t="str">
            <v>Stock</v>
          </cell>
          <cell r="N604" t="str">
            <v>Russia</v>
          </cell>
          <cell r="O604"/>
          <cell r="P604" t="str">
            <v>2-4 weeks</v>
          </cell>
          <cell r="Q604"/>
          <cell r="R604"/>
        </row>
        <row r="605">
          <cell r="B605">
            <v>599</v>
          </cell>
          <cell r="C605">
            <v>1</v>
          </cell>
          <cell r="D605" t="str">
            <v>Fixation</v>
          </cell>
          <cell r="E605" t="str">
            <v>ОСП0007265</v>
          </cell>
          <cell r="F605">
            <v>40451523047</v>
          </cell>
          <cell r="G605"/>
          <cell r="H605" t="str">
            <v>Болт шестигранный M12x30 DIN 933, к.п. 8.8, оцинкованный</v>
          </cell>
          <cell r="I605" t="str">
            <v>Hexagon screw M12x30 DIN 933, 8.8, zinced</v>
          </cell>
          <cell r="J605" t="str">
            <v>шт</v>
          </cell>
          <cell r="K605">
            <v>11</v>
          </cell>
          <cell r="L605"/>
          <cell r="M605" t="str">
            <v>Stock</v>
          </cell>
          <cell r="N605" t="str">
            <v>Russia</v>
          </cell>
          <cell r="O605"/>
          <cell r="P605" t="str">
            <v>2-4 weeks</v>
          </cell>
          <cell r="Q605"/>
          <cell r="R605"/>
        </row>
        <row r="606">
          <cell r="B606">
            <v>600</v>
          </cell>
          <cell r="C606">
            <v>1</v>
          </cell>
          <cell r="D606" t="str">
            <v>Fixation</v>
          </cell>
          <cell r="E606" t="str">
            <v>ОСП0007266</v>
          </cell>
          <cell r="F606">
            <v>40451523048</v>
          </cell>
          <cell r="G606"/>
          <cell r="H606" t="str">
            <v>Болт шестигранный M12x40 DIN 933, к.п. 8.8, оцинкованный</v>
          </cell>
          <cell r="I606" t="str">
            <v>Hexagon screw M12x40 DIN 933, 8.8, zinced</v>
          </cell>
          <cell r="J606" t="str">
            <v>шт</v>
          </cell>
          <cell r="K606"/>
          <cell r="L606"/>
          <cell r="M606" t="str">
            <v>Stock</v>
          </cell>
          <cell r="N606" t="str">
            <v>Russia</v>
          </cell>
          <cell r="O606"/>
          <cell r="P606" t="str">
            <v>2-4 weeks</v>
          </cell>
          <cell r="Q606"/>
          <cell r="R606"/>
        </row>
        <row r="607">
          <cell r="B607">
            <v>601</v>
          </cell>
          <cell r="C607">
            <v>1</v>
          </cell>
          <cell r="D607" t="str">
            <v>Fixation</v>
          </cell>
          <cell r="E607" t="str">
            <v>ОСП0007234</v>
          </cell>
          <cell r="F607">
            <v>40451523042</v>
          </cell>
          <cell r="G607"/>
          <cell r="H607" t="str">
            <v>Болт шестигранный M12x45 DIN 933, к.п. 8.8, оцинкованный</v>
          </cell>
          <cell r="I607" t="str">
            <v>Hexagon screw M12x45 DIN 933, 8.8, zinced</v>
          </cell>
          <cell r="J607" t="str">
            <v>шт</v>
          </cell>
          <cell r="K607">
            <v>11</v>
          </cell>
          <cell r="L607"/>
          <cell r="M607" t="str">
            <v>Stock</v>
          </cell>
          <cell r="N607" t="str">
            <v>Russia</v>
          </cell>
          <cell r="O607"/>
          <cell r="P607" t="str">
            <v>2-4 weeks</v>
          </cell>
          <cell r="Q607"/>
          <cell r="R607"/>
        </row>
        <row r="608">
          <cell r="B608">
            <v>602</v>
          </cell>
          <cell r="C608">
            <v>1</v>
          </cell>
          <cell r="D608" t="str">
            <v>Fixation</v>
          </cell>
          <cell r="E608" t="str">
            <v>ОСП0009299</v>
          </cell>
          <cell r="F608">
            <v>40451523065</v>
          </cell>
          <cell r="G608"/>
          <cell r="H608" t="str">
            <v>Болт шестигранный M12x50 DIN 933, к.п. 8.8, оцинкованный</v>
          </cell>
          <cell r="I608" t="str">
            <v>Hexagon screw M12x50 DIN 933, 8.8, zinced</v>
          </cell>
          <cell r="J608" t="str">
            <v>шт</v>
          </cell>
          <cell r="K608">
            <v>6</v>
          </cell>
          <cell r="L608"/>
          <cell r="M608" t="str">
            <v>Stock</v>
          </cell>
          <cell r="N608" t="str">
            <v>Russia</v>
          </cell>
          <cell r="O608"/>
          <cell r="P608" t="str">
            <v>2-4 weeks</v>
          </cell>
          <cell r="Q608"/>
          <cell r="R608"/>
        </row>
        <row r="609">
          <cell r="B609">
            <v>603</v>
          </cell>
          <cell r="C609">
            <v>1</v>
          </cell>
          <cell r="D609" t="str">
            <v>Fixation</v>
          </cell>
          <cell r="E609" t="str">
            <v>ОСП0009227</v>
          </cell>
          <cell r="F609">
            <v>10000000140</v>
          </cell>
          <cell r="G609"/>
          <cell r="H609" t="str">
            <v>Болт шестигранный M8x30 DIN 933, к.п. 8.8, оцинкованный</v>
          </cell>
          <cell r="I609" t="str">
            <v>Hexagon screw M8x30 DIN 933, 8.8, zinced</v>
          </cell>
          <cell r="J609" t="str">
            <v>шт</v>
          </cell>
          <cell r="K609">
            <v>6</v>
          </cell>
          <cell r="L609"/>
          <cell r="M609" t="str">
            <v>Stock</v>
          </cell>
          <cell r="N609" t="str">
            <v>Russia</v>
          </cell>
          <cell r="O609"/>
          <cell r="P609" t="str">
            <v>2-4 weeks</v>
          </cell>
          <cell r="Q609"/>
          <cell r="R609"/>
        </row>
        <row r="610">
          <cell r="B610">
            <v>604</v>
          </cell>
          <cell r="C610">
            <v>1</v>
          </cell>
          <cell r="D610" t="str">
            <v>Fixation</v>
          </cell>
          <cell r="E610" t="str">
            <v>ОСП0009096</v>
          </cell>
          <cell r="F610">
            <v>40451523071</v>
          </cell>
          <cell r="G610"/>
          <cell r="H610" t="str">
            <v>Болт шестигранный M8x45 DIN 933, к.п. 8.8, оцинкованный</v>
          </cell>
          <cell r="I610" t="str">
            <v>Hexagon screw M8x45 DIN 933, 8.8, zinced</v>
          </cell>
          <cell r="J610" t="str">
            <v>шт</v>
          </cell>
          <cell r="K610"/>
          <cell r="L610"/>
          <cell r="M610" t="str">
            <v>Stock</v>
          </cell>
          <cell r="N610" t="str">
            <v>Russia</v>
          </cell>
          <cell r="O610"/>
          <cell r="P610" t="str">
            <v>2-4 weeks</v>
          </cell>
          <cell r="Q610"/>
          <cell r="R610"/>
        </row>
        <row r="611">
          <cell r="B611">
            <v>605</v>
          </cell>
          <cell r="C611">
            <v>1</v>
          </cell>
          <cell r="D611" t="str">
            <v>Fixation</v>
          </cell>
          <cell r="E611" t="str">
            <v>ОСП0008980</v>
          </cell>
          <cell r="F611">
            <v>40451523072</v>
          </cell>
          <cell r="G611"/>
          <cell r="H611" t="str">
            <v>Болт шестигранный M8x90 DIN 933, к.п. 8.8, оцинкованный</v>
          </cell>
          <cell r="I611" t="str">
            <v>Hexagon screw M8x90 DIN 933, 8.8, zinced</v>
          </cell>
          <cell r="J611" t="str">
            <v>шт</v>
          </cell>
          <cell r="K611"/>
          <cell r="L611"/>
          <cell r="M611" t="str">
            <v>Stock</v>
          </cell>
          <cell r="N611" t="str">
            <v>Russia</v>
          </cell>
          <cell r="O611"/>
          <cell r="P611" t="str">
            <v>2-4 weeks</v>
          </cell>
          <cell r="Q611"/>
          <cell r="R611"/>
        </row>
        <row r="612">
          <cell r="B612">
            <v>606</v>
          </cell>
          <cell r="C612">
            <v>1</v>
          </cell>
          <cell r="D612" t="str">
            <v>Fixation</v>
          </cell>
          <cell r="E612" t="str">
            <v>ОСП0008282</v>
          </cell>
          <cell r="F612">
            <v>40451522030</v>
          </cell>
          <cell r="G612"/>
          <cell r="H612" t="str">
            <v>Гайка стопорная шестигранная M12 DIN7967, к.п. 8, оцинкованная</v>
          </cell>
          <cell r="I612" t="str">
            <v>Hexagon selflocking nut M12 DIN7967, 8, zinced</v>
          </cell>
          <cell r="J612" t="str">
            <v>шт</v>
          </cell>
          <cell r="K612">
            <v>6</v>
          </cell>
          <cell r="L612"/>
          <cell r="M612" t="str">
            <v>Stock</v>
          </cell>
          <cell r="N612" t="str">
            <v>Russia</v>
          </cell>
          <cell r="O612"/>
          <cell r="P612" t="str">
            <v>2-4 weeks</v>
          </cell>
          <cell r="Q612"/>
          <cell r="R612"/>
        </row>
        <row r="613">
          <cell r="B613">
            <v>607</v>
          </cell>
          <cell r="C613">
            <v>1</v>
          </cell>
          <cell r="D613" t="str">
            <v>Fixation</v>
          </cell>
          <cell r="E613" t="str">
            <v>ОСП0008283</v>
          </cell>
          <cell r="F613">
            <v>40451523062</v>
          </cell>
          <cell r="G613"/>
          <cell r="H613" t="str">
            <v>Гайка стопорная шестигранная M8 DIN7967, к.п. 8, оцинкованная</v>
          </cell>
          <cell r="I613" t="str">
            <v>Hexagon selflocking nut M8 DIN7967, 8, zinced</v>
          </cell>
          <cell r="J613" t="str">
            <v>шт</v>
          </cell>
          <cell r="K613">
            <v>6</v>
          </cell>
          <cell r="L613"/>
          <cell r="M613" t="str">
            <v>Stock</v>
          </cell>
          <cell r="N613" t="str">
            <v>Russia</v>
          </cell>
          <cell r="O613"/>
          <cell r="P613" t="str">
            <v>2-4 weeks</v>
          </cell>
          <cell r="Q613"/>
          <cell r="R613"/>
        </row>
        <row r="614">
          <cell r="B614">
            <v>608</v>
          </cell>
          <cell r="C614">
            <v>1</v>
          </cell>
          <cell r="D614" t="str">
            <v>Fixation</v>
          </cell>
          <cell r="E614" t="str">
            <v>ОСП0007235</v>
          </cell>
          <cell r="F614">
            <v>40451523043</v>
          </cell>
          <cell r="G614"/>
          <cell r="H614" t="str">
            <v>Гайка шестигранная M10 DIN 934, к.п. 8, оцинкованная</v>
          </cell>
          <cell r="I614" t="str">
            <v>Hexagon nut M10 DIN 934, 8, zinced</v>
          </cell>
          <cell r="J614" t="str">
            <v>шт</v>
          </cell>
          <cell r="K614">
            <v>11</v>
          </cell>
          <cell r="L614"/>
          <cell r="M614" t="str">
            <v>Stock</v>
          </cell>
          <cell r="N614" t="str">
            <v>Russia</v>
          </cell>
          <cell r="O614"/>
          <cell r="P614" t="str">
            <v>2-4 weeks</v>
          </cell>
          <cell r="Q614"/>
          <cell r="R614"/>
        </row>
        <row r="615">
          <cell r="B615">
            <v>609</v>
          </cell>
          <cell r="C615">
            <v>1</v>
          </cell>
          <cell r="D615" t="str">
            <v>Fixation</v>
          </cell>
          <cell r="E615" t="str">
            <v>ОСП0007224</v>
          </cell>
          <cell r="F615">
            <v>40451523038</v>
          </cell>
          <cell r="G615"/>
          <cell r="H615" t="str">
            <v>Гайка шестигранная M12 DIN 934, к.п. 8, оцинкованная</v>
          </cell>
          <cell r="I615" t="str">
            <v>Hexagon nut M12 DIN 934, 8, zinced</v>
          </cell>
          <cell r="J615" t="str">
            <v>шт</v>
          </cell>
          <cell r="K615">
            <v>6</v>
          </cell>
          <cell r="L615"/>
          <cell r="M615" t="str">
            <v>Stock</v>
          </cell>
          <cell r="N615" t="str">
            <v>Russia</v>
          </cell>
          <cell r="O615"/>
          <cell r="P615" t="str">
            <v>2-4 weeks</v>
          </cell>
          <cell r="Q615"/>
          <cell r="R615"/>
        </row>
        <row r="616">
          <cell r="B616">
            <v>610</v>
          </cell>
          <cell r="C616">
            <v>1</v>
          </cell>
          <cell r="D616" t="str">
            <v>Fixation</v>
          </cell>
          <cell r="E616" t="str">
            <v>ОСП0007224</v>
          </cell>
          <cell r="F616">
            <v>40451523038</v>
          </cell>
          <cell r="G616"/>
          <cell r="H616" t="str">
            <v>Гайка шестигранная M12 DIN 934, к.п. 8, оцинкованная</v>
          </cell>
          <cell r="I616" t="str">
            <v>Hexagon nut M12 DIN 934, 8, zinced</v>
          </cell>
          <cell r="J616" t="str">
            <v>шт</v>
          </cell>
          <cell r="K616">
            <v>11</v>
          </cell>
          <cell r="L616"/>
          <cell r="M616" t="str">
            <v>Stock</v>
          </cell>
          <cell r="N616" t="str">
            <v>Russia</v>
          </cell>
          <cell r="O616"/>
          <cell r="P616" t="str">
            <v>2-4 weeks</v>
          </cell>
          <cell r="Q616"/>
          <cell r="R616"/>
        </row>
        <row r="617">
          <cell r="B617">
            <v>611</v>
          </cell>
          <cell r="C617">
            <v>1</v>
          </cell>
          <cell r="D617" t="str">
            <v>Fixation</v>
          </cell>
          <cell r="E617" t="str">
            <v>ОСП0007224</v>
          </cell>
          <cell r="F617">
            <v>40451523038</v>
          </cell>
          <cell r="G617"/>
          <cell r="H617" t="str">
            <v>Гайка шестигранная M12 DIN 934, к.п. 8, оцинкованная</v>
          </cell>
          <cell r="I617" t="str">
            <v>Hexagon nut M12 DIN 934, 8, zinced</v>
          </cell>
          <cell r="J617" t="str">
            <v>шт</v>
          </cell>
          <cell r="K617">
            <v>11</v>
          </cell>
          <cell r="L617"/>
          <cell r="M617" t="str">
            <v>Stock</v>
          </cell>
          <cell r="N617" t="str">
            <v>Russia</v>
          </cell>
          <cell r="O617"/>
          <cell r="P617" t="str">
            <v>2-4 weeks</v>
          </cell>
          <cell r="Q617"/>
          <cell r="R617"/>
        </row>
        <row r="618">
          <cell r="B618">
            <v>612</v>
          </cell>
          <cell r="C618">
            <v>1</v>
          </cell>
          <cell r="D618" t="str">
            <v>Fixation</v>
          </cell>
          <cell r="E618" t="str">
            <v>ОСП0007223</v>
          </cell>
          <cell r="F618">
            <v>40451523037</v>
          </cell>
          <cell r="G618"/>
          <cell r="H618" t="str">
            <v>Гайка шестигранная M8 DIN 934, к.п. 8, оцинкованная</v>
          </cell>
          <cell r="I618" t="str">
            <v>Hexagon nut M8 DIN 934, 8, zinced</v>
          </cell>
          <cell r="J618" t="str">
            <v>шт</v>
          </cell>
          <cell r="K618">
            <v>6</v>
          </cell>
          <cell r="L618"/>
          <cell r="M618" t="str">
            <v>Stock</v>
          </cell>
          <cell r="N618" t="str">
            <v>Russia</v>
          </cell>
          <cell r="O618"/>
          <cell r="P618" t="str">
            <v>2-4 weeks</v>
          </cell>
          <cell r="Q618"/>
          <cell r="R618"/>
        </row>
        <row r="619">
          <cell r="B619">
            <v>613</v>
          </cell>
          <cell r="C619">
            <v>1</v>
          </cell>
          <cell r="D619" t="str">
            <v>Fixation</v>
          </cell>
          <cell r="E619" t="str">
            <v>ОСП0007226</v>
          </cell>
          <cell r="F619">
            <v>46452404006</v>
          </cell>
          <cell r="G619"/>
          <cell r="H619" t="str">
            <v>Дюбель-гвоздь 6х60</v>
          </cell>
          <cell r="I619" t="str">
            <v>Nail dowel 6х60</v>
          </cell>
          <cell r="J619" t="str">
            <v>шт</v>
          </cell>
          <cell r="K619">
            <v>2</v>
          </cell>
          <cell r="L619"/>
          <cell r="M619" t="str">
            <v>Stock</v>
          </cell>
          <cell r="N619" t="str">
            <v>Russia</v>
          </cell>
          <cell r="O619"/>
          <cell r="P619" t="str">
            <v>2 weeks</v>
          </cell>
          <cell r="Q619"/>
          <cell r="R619"/>
        </row>
        <row r="620">
          <cell r="B620">
            <v>614</v>
          </cell>
          <cell r="C620">
            <v>1</v>
          </cell>
          <cell r="D620" t="str">
            <v>Fixation</v>
          </cell>
          <cell r="E620" t="str">
            <v>ОСП0004020</v>
          </cell>
          <cell r="F620">
            <v>46452404007</v>
          </cell>
          <cell r="G620"/>
          <cell r="H620" t="str">
            <v>Дюбель-гвоздь 8х60</v>
          </cell>
          <cell r="I620" t="str">
            <v>Nail dowel 8х60</v>
          </cell>
          <cell r="J620" t="str">
            <v>шт</v>
          </cell>
          <cell r="K620">
            <v>2</v>
          </cell>
          <cell r="L620"/>
          <cell r="M620" t="str">
            <v>Stock</v>
          </cell>
          <cell r="N620" t="str">
            <v>Russia</v>
          </cell>
          <cell r="O620"/>
          <cell r="P620" t="str">
            <v>2 weeks</v>
          </cell>
          <cell r="Q620"/>
          <cell r="R620"/>
        </row>
        <row r="621">
          <cell r="B621">
            <v>615</v>
          </cell>
          <cell r="C621">
            <v>1</v>
          </cell>
          <cell r="D621" t="str">
            <v>Fixation</v>
          </cell>
          <cell r="E621" t="str">
            <v>ОСП0006121</v>
          </cell>
          <cell r="F621">
            <v>46456606050</v>
          </cell>
          <cell r="G621" t="str">
            <v>5172690</v>
          </cell>
          <cell r="H621" t="str">
            <v>Зажим крепления направляющих A11</v>
          </cell>
          <cell r="I621" t="str">
            <v>Guide rail clamp plate A11 (T50/T70), zinced</v>
          </cell>
          <cell r="J621" t="str">
            <v>шт</v>
          </cell>
          <cell r="K621">
            <v>11</v>
          </cell>
          <cell r="L621"/>
          <cell r="M621" t="str">
            <v>Stock</v>
          </cell>
          <cell r="N621" t="str">
            <v>Germany</v>
          </cell>
          <cell r="O621" t="str">
            <v>tkAW</v>
          </cell>
          <cell r="P621" t="str">
            <v>6-8 weeks</v>
          </cell>
          <cell r="Q621"/>
          <cell r="R621"/>
        </row>
        <row r="622">
          <cell r="B622">
            <v>616</v>
          </cell>
          <cell r="C622">
            <v>1</v>
          </cell>
          <cell r="D622" t="str">
            <v>Fixation</v>
          </cell>
          <cell r="E622" t="str">
            <v>ОСП0006122</v>
          </cell>
          <cell r="F622">
            <v>46456606051</v>
          </cell>
          <cell r="G622" t="str">
            <v>5172700</v>
          </cell>
          <cell r="H622" t="str">
            <v>Зажим крепления направляющих A13</v>
          </cell>
          <cell r="I622" t="str">
            <v>Guide rail clamp plate A13 (T89/T90), zinced</v>
          </cell>
          <cell r="J622" t="str">
            <v>шт</v>
          </cell>
          <cell r="K622">
            <v>11</v>
          </cell>
          <cell r="L622"/>
          <cell r="M622" t="str">
            <v>Stock</v>
          </cell>
          <cell r="N622" t="str">
            <v>Germany</v>
          </cell>
          <cell r="O622" t="str">
            <v>tkAW</v>
          </cell>
          <cell r="P622" t="str">
            <v>6-8 weeks</v>
          </cell>
          <cell r="Q622"/>
          <cell r="R622"/>
        </row>
        <row r="623">
          <cell r="B623">
            <v>617</v>
          </cell>
          <cell r="C623">
            <v>0</v>
          </cell>
          <cell r="D623" t="str">
            <v>Fixation</v>
          </cell>
          <cell r="E623" t="str">
            <v>ОСП0006128</v>
          </cell>
          <cell r="F623">
            <v>40451523030</v>
          </cell>
          <cell r="G623" t="str">
            <v>5069250</v>
          </cell>
          <cell r="H623" t="str">
            <v>Тарельчатая контр-шайба NSK M10</v>
          </cell>
          <cell r="I623" t="str">
            <v>Lock washer NSK M10</v>
          </cell>
          <cell r="J623" t="str">
            <v>шт</v>
          </cell>
          <cell r="K623">
            <v>14</v>
          </cell>
          <cell r="L623"/>
          <cell r="M623" t="str">
            <v>Stock</v>
          </cell>
          <cell r="N623" t="str">
            <v>Germany</v>
          </cell>
          <cell r="O623" t="str">
            <v>tkAW</v>
          </cell>
          <cell r="P623" t="str">
            <v>6-8 weeks</v>
          </cell>
          <cell r="Q623"/>
          <cell r="R623"/>
        </row>
        <row r="624">
          <cell r="B624">
            <v>618</v>
          </cell>
          <cell r="C624">
            <v>1</v>
          </cell>
          <cell r="D624" t="str">
            <v>Fixation</v>
          </cell>
          <cell r="E624" t="str">
            <v>ОСП0006128</v>
          </cell>
          <cell r="F624">
            <v>40451523030</v>
          </cell>
          <cell r="G624" t="str">
            <v>5069250</v>
          </cell>
          <cell r="H624" t="str">
            <v>Тарельчатая контр-шайба NSK M10</v>
          </cell>
          <cell r="I624" t="str">
            <v>Lock washer NSK M10</v>
          </cell>
          <cell r="J624" t="str">
            <v>шт</v>
          </cell>
          <cell r="K624">
            <v>11</v>
          </cell>
          <cell r="L624"/>
          <cell r="M624" t="str">
            <v>Stock</v>
          </cell>
          <cell r="N624" t="str">
            <v>Germany</v>
          </cell>
          <cell r="O624" t="str">
            <v>tkAW</v>
          </cell>
          <cell r="P624" t="str">
            <v>6-8 weeks</v>
          </cell>
          <cell r="Q624"/>
          <cell r="R624"/>
        </row>
        <row r="625">
          <cell r="B625">
            <v>619</v>
          </cell>
          <cell r="C625">
            <v>1</v>
          </cell>
          <cell r="D625" t="str">
            <v>Fixation</v>
          </cell>
          <cell r="E625" t="str">
            <v>ОСП0006123</v>
          </cell>
          <cell r="F625">
            <v>40451523031</v>
          </cell>
          <cell r="G625" t="str">
            <v>5069100</v>
          </cell>
          <cell r="H625" t="str">
            <v>Тарельчатая контр-шайба NSK M12</v>
          </cell>
          <cell r="I625" t="str">
            <v>Lock washer NSK M12</v>
          </cell>
          <cell r="J625" t="str">
            <v>шт</v>
          </cell>
          <cell r="K625">
            <v>6</v>
          </cell>
          <cell r="L625"/>
          <cell r="M625" t="str">
            <v>Stock</v>
          </cell>
          <cell r="N625" t="str">
            <v>Germany</v>
          </cell>
          <cell r="O625" t="str">
            <v>tkAW</v>
          </cell>
          <cell r="P625" t="str">
            <v>6-8 weeks</v>
          </cell>
          <cell r="Q625"/>
          <cell r="R625"/>
        </row>
        <row r="626">
          <cell r="B626">
            <v>620</v>
          </cell>
          <cell r="C626">
            <v>1</v>
          </cell>
          <cell r="D626" t="str">
            <v>Fixation</v>
          </cell>
          <cell r="E626" t="str">
            <v>ОСП0006123</v>
          </cell>
          <cell r="F626">
            <v>40451523031</v>
          </cell>
          <cell r="G626" t="str">
            <v>5069100</v>
          </cell>
          <cell r="H626" t="str">
            <v>Тарельчатая контр-шайба NSK M12</v>
          </cell>
          <cell r="I626" t="str">
            <v>Lock washer NSK M12</v>
          </cell>
          <cell r="J626" t="str">
            <v>шт</v>
          </cell>
          <cell r="K626">
            <v>4</v>
          </cell>
          <cell r="L626"/>
          <cell r="M626" t="str">
            <v>Stock</v>
          </cell>
          <cell r="N626" t="str">
            <v>Germany</v>
          </cell>
          <cell r="O626" t="str">
            <v>tkAW</v>
          </cell>
          <cell r="P626" t="str">
            <v>6-8 weeks</v>
          </cell>
          <cell r="Q626"/>
          <cell r="R626"/>
        </row>
        <row r="627">
          <cell r="B627">
            <v>621</v>
          </cell>
          <cell r="C627">
            <v>1</v>
          </cell>
          <cell r="D627" t="str">
            <v>Fixation</v>
          </cell>
          <cell r="E627" t="str">
            <v>ОСП0006123</v>
          </cell>
          <cell r="F627">
            <v>40451523031</v>
          </cell>
          <cell r="G627" t="str">
            <v>5069100</v>
          </cell>
          <cell r="H627" t="str">
            <v>Тарельчатая контр-шайба NSK M12</v>
          </cell>
          <cell r="I627" t="str">
            <v>Lock washer NSK M12</v>
          </cell>
          <cell r="J627" t="str">
            <v>шт</v>
          </cell>
          <cell r="K627">
            <v>14</v>
          </cell>
          <cell r="L627"/>
          <cell r="M627" t="str">
            <v>Stock</v>
          </cell>
          <cell r="N627" t="str">
            <v>Germany</v>
          </cell>
          <cell r="O627" t="str">
            <v>tkAW</v>
          </cell>
          <cell r="P627" t="str">
            <v>6-8 weeks</v>
          </cell>
          <cell r="Q627"/>
          <cell r="R627"/>
        </row>
        <row r="628">
          <cell r="B628">
            <v>622</v>
          </cell>
          <cell r="C628">
            <v>1</v>
          </cell>
          <cell r="D628" t="str">
            <v>Fixation</v>
          </cell>
          <cell r="E628" t="str">
            <v>ОСП0006123</v>
          </cell>
          <cell r="F628">
            <v>40451523031</v>
          </cell>
          <cell r="G628" t="str">
            <v>5069100</v>
          </cell>
          <cell r="H628" t="str">
            <v>Тарельчатая контр-шайба NSK M12</v>
          </cell>
          <cell r="I628" t="str">
            <v>Lock washer NSK M12</v>
          </cell>
          <cell r="J628" t="str">
            <v>шт</v>
          </cell>
          <cell r="K628">
            <v>11</v>
          </cell>
          <cell r="L628"/>
          <cell r="M628" t="str">
            <v>Stock</v>
          </cell>
          <cell r="N628" t="str">
            <v>Germany</v>
          </cell>
          <cell r="O628" t="str">
            <v>tkAW</v>
          </cell>
          <cell r="P628" t="str">
            <v>6-8 weeks</v>
          </cell>
          <cell r="Q628"/>
          <cell r="R628"/>
        </row>
        <row r="629">
          <cell r="B629">
            <v>623</v>
          </cell>
          <cell r="C629">
            <v>1</v>
          </cell>
          <cell r="D629" t="str">
            <v>Fixation</v>
          </cell>
          <cell r="E629" t="str">
            <v>ОСП0006123</v>
          </cell>
          <cell r="F629">
            <v>40451523031</v>
          </cell>
          <cell r="G629" t="str">
            <v>5069100</v>
          </cell>
          <cell r="H629" t="str">
            <v>Тарельчатая контр-шайба NSK M12</v>
          </cell>
          <cell r="I629" t="str">
            <v>Lock washer NSK M12</v>
          </cell>
          <cell r="J629" t="str">
            <v>шт</v>
          </cell>
          <cell r="K629">
            <v>11</v>
          </cell>
          <cell r="L629"/>
          <cell r="M629" t="str">
            <v>Stock</v>
          </cell>
          <cell r="N629" t="str">
            <v>Germany</v>
          </cell>
          <cell r="O629" t="str">
            <v>tkAW</v>
          </cell>
          <cell r="P629" t="str">
            <v>6-8 weeks</v>
          </cell>
          <cell r="Q629"/>
          <cell r="R629"/>
        </row>
        <row r="630">
          <cell r="B630">
            <v>624</v>
          </cell>
          <cell r="C630">
            <v>1</v>
          </cell>
          <cell r="D630" t="str">
            <v>Fixation</v>
          </cell>
          <cell r="E630" t="str">
            <v>ОСП0006123</v>
          </cell>
          <cell r="F630">
            <v>40451523031</v>
          </cell>
          <cell r="G630" t="str">
            <v>5069100</v>
          </cell>
          <cell r="H630" t="str">
            <v>Тарельчатая контр-шайба NSK M12</v>
          </cell>
          <cell r="I630" t="str">
            <v>Lock washer NSK M12</v>
          </cell>
          <cell r="J630" t="str">
            <v>шт</v>
          </cell>
          <cell r="K630">
            <v>7</v>
          </cell>
          <cell r="L630"/>
          <cell r="M630" t="str">
            <v>Stock</v>
          </cell>
          <cell r="N630" t="str">
            <v>Germany</v>
          </cell>
          <cell r="O630" t="str">
            <v>tkAW</v>
          </cell>
          <cell r="P630" t="str">
            <v>6-8 weeks</v>
          </cell>
          <cell r="Q630"/>
          <cell r="R630"/>
        </row>
        <row r="631">
          <cell r="B631">
            <v>625</v>
          </cell>
          <cell r="C631">
            <v>1</v>
          </cell>
          <cell r="D631" t="str">
            <v>Fixation</v>
          </cell>
          <cell r="E631" t="str">
            <v>ОСП0006124</v>
          </cell>
          <cell r="F631">
            <v>40451523032</v>
          </cell>
          <cell r="G631" t="str">
            <v>5069230</v>
          </cell>
          <cell r="H631" t="str">
            <v>Тарельчатая контр-шайба NSK M16</v>
          </cell>
          <cell r="I631" t="str">
            <v>Lock washer NSK M16</v>
          </cell>
          <cell r="J631" t="str">
            <v>шт</v>
          </cell>
          <cell r="K631">
            <v>7</v>
          </cell>
          <cell r="L631"/>
          <cell r="M631" t="str">
            <v>Stock</v>
          </cell>
          <cell r="N631" t="str">
            <v>Germany</v>
          </cell>
          <cell r="O631" t="str">
            <v>tkAW</v>
          </cell>
          <cell r="P631" t="str">
            <v>6-8 weeks</v>
          </cell>
          <cell r="Q631"/>
          <cell r="R631"/>
        </row>
        <row r="632">
          <cell r="B632">
            <v>626</v>
          </cell>
          <cell r="C632">
            <v>1</v>
          </cell>
          <cell r="D632" t="str">
            <v>Fixation</v>
          </cell>
          <cell r="E632" t="str">
            <v>ОСП0006129</v>
          </cell>
          <cell r="F632">
            <v>40451523033</v>
          </cell>
          <cell r="G632" t="str">
            <v>99000001849</v>
          </cell>
          <cell r="H632" t="str">
            <v>Тарельчатая контр-шайба NSK M20</v>
          </cell>
          <cell r="I632" t="str">
            <v>Lock washer NSK M20</v>
          </cell>
          <cell r="J632" t="str">
            <v>шт</v>
          </cell>
          <cell r="K632"/>
          <cell r="L632"/>
          <cell r="M632" t="str">
            <v>Stock</v>
          </cell>
          <cell r="N632" t="str">
            <v>Germany</v>
          </cell>
          <cell r="O632" t="str">
            <v>tkAW</v>
          </cell>
          <cell r="P632" t="str">
            <v>6-8 weeks</v>
          </cell>
          <cell r="Q632"/>
          <cell r="R632"/>
        </row>
        <row r="633">
          <cell r="B633">
            <v>627</v>
          </cell>
          <cell r="C633">
            <v>1</v>
          </cell>
          <cell r="D633" t="str">
            <v>Fixation</v>
          </cell>
          <cell r="E633" t="str">
            <v>ОСП0008774</v>
          </cell>
          <cell r="F633">
            <v>40451523029</v>
          </cell>
          <cell r="G633" t="str">
            <v>5069220</v>
          </cell>
          <cell r="H633" t="str">
            <v>Тарельчатая контр-шайба NSK M6</v>
          </cell>
          <cell r="I633" t="str">
            <v>Lock washer NSK M6</v>
          </cell>
          <cell r="J633" t="str">
            <v>шт</v>
          </cell>
          <cell r="K633">
            <v>9</v>
          </cell>
          <cell r="L633"/>
          <cell r="M633" t="str">
            <v>Stock</v>
          </cell>
          <cell r="N633" t="str">
            <v>Germany</v>
          </cell>
          <cell r="O633" t="str">
            <v>tkAW</v>
          </cell>
          <cell r="P633" t="str">
            <v>6-8 weeks</v>
          </cell>
          <cell r="Q633"/>
          <cell r="R633"/>
        </row>
        <row r="634">
          <cell r="B634">
            <v>628</v>
          </cell>
          <cell r="C634">
            <v>1</v>
          </cell>
          <cell r="D634" t="str">
            <v>Fixation</v>
          </cell>
          <cell r="E634" t="str">
            <v>ОСП0006704</v>
          </cell>
          <cell r="F634">
            <v>40451523039</v>
          </cell>
          <cell r="G634" t="str">
            <v>5069190</v>
          </cell>
          <cell r="H634" t="str">
            <v>Тарельчатая контр-шайба NSK M8</v>
          </cell>
          <cell r="I634" t="str">
            <v>Lock washer NSK M8</v>
          </cell>
          <cell r="J634" t="str">
            <v>шт</v>
          </cell>
          <cell r="K634">
            <v>11</v>
          </cell>
          <cell r="L634"/>
          <cell r="M634" t="str">
            <v>Stock</v>
          </cell>
          <cell r="N634" t="str">
            <v>Germany</v>
          </cell>
          <cell r="O634" t="str">
            <v>tkAW</v>
          </cell>
          <cell r="P634" t="str">
            <v>6-8 weeks</v>
          </cell>
          <cell r="Q634"/>
          <cell r="R634"/>
        </row>
        <row r="635">
          <cell r="B635">
            <v>629</v>
          </cell>
          <cell r="C635">
            <v>1</v>
          </cell>
          <cell r="D635" t="str">
            <v>Fixation</v>
          </cell>
          <cell r="E635" t="str">
            <v xml:space="preserve">ОСП0010785 </v>
          </cell>
          <cell r="F635">
            <v>40451523066</v>
          </cell>
          <cell r="G635"/>
          <cell r="H635" t="str">
            <v>Шайба плоская увеличенная под М10, ГОСТ 6958-78 (DIN 9021), оцинкованная</v>
          </cell>
          <cell r="I635" t="str">
            <v>Flat fender washer for M10 DIN 9021, zinced</v>
          </cell>
          <cell r="J635" t="str">
            <v>шт</v>
          </cell>
          <cell r="K635">
            <v>11</v>
          </cell>
          <cell r="L635"/>
          <cell r="M635" t="str">
            <v>Stock</v>
          </cell>
          <cell r="N635" t="str">
            <v>Russia</v>
          </cell>
          <cell r="O635"/>
          <cell r="P635" t="str">
            <v>5 weeks</v>
          </cell>
          <cell r="Q635"/>
          <cell r="R635"/>
        </row>
        <row r="636">
          <cell r="B636">
            <v>630</v>
          </cell>
          <cell r="C636">
            <v>1</v>
          </cell>
          <cell r="D636" t="str">
            <v>Fixation</v>
          </cell>
          <cell r="E636" t="str">
            <v xml:space="preserve">ОСП0010784 </v>
          </cell>
          <cell r="F636">
            <v>40451523067</v>
          </cell>
          <cell r="G636"/>
          <cell r="H636" t="str">
            <v>Шайба плоская увеличенная под М12, ГОСТ 6958-78 (DIN 9021), оцинкованная</v>
          </cell>
          <cell r="I636" t="str">
            <v>Flat fender washer for M12 DIN 9021, zinced</v>
          </cell>
          <cell r="J636" t="str">
            <v>шт</v>
          </cell>
          <cell r="K636">
            <v>11</v>
          </cell>
          <cell r="L636"/>
          <cell r="M636" t="str">
            <v>Stock</v>
          </cell>
          <cell r="N636" t="str">
            <v>Russia</v>
          </cell>
          <cell r="O636"/>
          <cell r="P636" t="str">
            <v>5 weeks</v>
          </cell>
          <cell r="Q636"/>
          <cell r="R636"/>
        </row>
        <row r="637">
          <cell r="B637">
            <v>631</v>
          </cell>
          <cell r="C637">
            <v>1</v>
          </cell>
          <cell r="D637" t="str">
            <v>Fixation</v>
          </cell>
          <cell r="E637" t="str">
            <v>ОСП0007237</v>
          </cell>
          <cell r="F637">
            <v>40451523045</v>
          </cell>
          <cell r="G637"/>
          <cell r="H637" t="str">
            <v>Шайба под M12, плоская утолщённая DIN 7349, оцинкованная</v>
          </cell>
          <cell r="I637" t="str">
            <v>Flat washer for M12 DIN 7349, zinced</v>
          </cell>
          <cell r="J637" t="str">
            <v>шт</v>
          </cell>
          <cell r="K637">
            <v>11</v>
          </cell>
          <cell r="L637"/>
          <cell r="M637" t="str">
            <v>Stock</v>
          </cell>
          <cell r="N637" t="str">
            <v>Russia</v>
          </cell>
          <cell r="O637"/>
          <cell r="P637" t="str">
            <v>6 weeks</v>
          </cell>
          <cell r="Q637"/>
          <cell r="R637"/>
        </row>
        <row r="638">
          <cell r="B638">
            <v>632</v>
          </cell>
          <cell r="C638">
            <v>1</v>
          </cell>
          <cell r="D638" t="str">
            <v>Counterweight</v>
          </cell>
          <cell r="E638" t="str">
            <v>ОСП0010890</v>
          </cell>
          <cell r="F638">
            <v>46451503113</v>
          </cell>
          <cell r="G638" t="str">
            <v>61754600001_00</v>
          </cell>
          <cell r="H638" t="str">
            <v>Груз бетонный, 805х195х50, 18,1 кг</v>
          </cell>
          <cell r="I638" t="str">
            <v>Filler concrete, 805х195х50, 18,1 kg</v>
          </cell>
          <cell r="J638" t="str">
            <v>компл</v>
          </cell>
          <cell r="K638">
            <v>8</v>
          </cell>
          <cell r="L638"/>
          <cell r="M638" t="str">
            <v>Order</v>
          </cell>
          <cell r="N638" t="str">
            <v>Russia</v>
          </cell>
          <cell r="O638" t="str">
            <v>Монолитбетон</v>
          </cell>
          <cell r="P638" t="str">
            <v>6 weeks</v>
          </cell>
          <cell r="Q638"/>
          <cell r="R638"/>
        </row>
        <row r="639">
          <cell r="B639">
            <v>633</v>
          </cell>
          <cell r="C639">
            <v>1</v>
          </cell>
          <cell r="D639" t="str">
            <v>Counterweight</v>
          </cell>
          <cell r="E639" t="str">
            <v>ОСП0010891</v>
          </cell>
          <cell r="F639">
            <v>46451503114</v>
          </cell>
          <cell r="G639" t="str">
            <v>61754600002_00</v>
          </cell>
          <cell r="H639" t="str">
            <v>Груз бетонный, 805х195х50, 25 кг</v>
          </cell>
          <cell r="I639" t="str">
            <v>Filler concrete, 805х195х50, 25 kg</v>
          </cell>
          <cell r="J639" t="str">
            <v>компл</v>
          </cell>
          <cell r="K639">
            <v>8</v>
          </cell>
          <cell r="L639"/>
          <cell r="M639" t="str">
            <v>Order</v>
          </cell>
          <cell r="N639" t="str">
            <v>Russia</v>
          </cell>
          <cell r="O639" t="str">
            <v>Монолитбетон</v>
          </cell>
          <cell r="P639" t="str">
            <v>6 weeks</v>
          </cell>
          <cell r="Q639"/>
          <cell r="R639"/>
        </row>
        <row r="640">
          <cell r="B640">
            <v>634</v>
          </cell>
          <cell r="C640">
            <v>1</v>
          </cell>
          <cell r="D640" t="str">
            <v>Counterweight</v>
          </cell>
          <cell r="E640" t="str">
            <v>ОСП0010892</v>
          </cell>
          <cell r="F640">
            <v>46451503115</v>
          </cell>
          <cell r="G640" t="str">
            <v>61754600003_00</v>
          </cell>
          <cell r="H640" t="str">
            <v>Груз стальной, 805х195х10, 12 кг</v>
          </cell>
          <cell r="I640" t="str">
            <v>Filler steel, 805х195х10, 12 kg</v>
          </cell>
          <cell r="J640" t="str">
            <v>компл</v>
          </cell>
          <cell r="K640">
            <v>8</v>
          </cell>
          <cell r="L640"/>
          <cell r="M640" t="str">
            <v>Order</v>
          </cell>
          <cell r="N640" t="str">
            <v>Russia</v>
          </cell>
          <cell r="O640" t="str">
            <v>Монолитбетон</v>
          </cell>
          <cell r="P640" t="str">
            <v>6 weeks</v>
          </cell>
          <cell r="Q640"/>
          <cell r="R640"/>
        </row>
        <row r="641">
          <cell r="B641">
            <v>635</v>
          </cell>
          <cell r="C641">
            <v>1</v>
          </cell>
          <cell r="D641" t="str">
            <v>Counterweight</v>
          </cell>
          <cell r="E641" t="str">
            <v>ОСП0010893</v>
          </cell>
          <cell r="F641">
            <v>46451503116</v>
          </cell>
          <cell r="G641" t="str">
            <v>61754600004_00</v>
          </cell>
          <cell r="H641" t="str">
            <v>Груз бетонный, 805х140х60, 15 кг</v>
          </cell>
          <cell r="I641" t="str">
            <v>Filler concrete, 805х140х60, 15 kg</v>
          </cell>
          <cell r="J641" t="str">
            <v>компл</v>
          </cell>
          <cell r="K641">
            <v>8</v>
          </cell>
          <cell r="L641"/>
          <cell r="M641" t="str">
            <v>Order</v>
          </cell>
          <cell r="N641" t="str">
            <v>Russia</v>
          </cell>
          <cell r="O641" t="str">
            <v>Монолитбетон</v>
          </cell>
          <cell r="P641" t="str">
            <v>6 weeks</v>
          </cell>
          <cell r="Q641"/>
          <cell r="R641"/>
        </row>
        <row r="642">
          <cell r="B642">
            <v>636</v>
          </cell>
          <cell r="C642">
            <v>1</v>
          </cell>
          <cell r="D642" t="str">
            <v>Counterweight</v>
          </cell>
          <cell r="E642" t="str">
            <v>ОСП0010894</v>
          </cell>
          <cell r="F642">
            <v>46451503117</v>
          </cell>
          <cell r="G642" t="str">
            <v>61754600005_00</v>
          </cell>
          <cell r="H642" t="str">
            <v>Груз бетонный, 805х140х60, 25,5 кг</v>
          </cell>
          <cell r="I642" t="str">
            <v>Filler concrete, 805х140х60, 25,5 kg</v>
          </cell>
          <cell r="J642" t="str">
            <v>компл</v>
          </cell>
          <cell r="K642">
            <v>8</v>
          </cell>
          <cell r="L642"/>
          <cell r="M642" t="str">
            <v>Order</v>
          </cell>
          <cell r="N642" t="str">
            <v>Russia</v>
          </cell>
          <cell r="O642" t="str">
            <v>Монолитбетон</v>
          </cell>
          <cell r="P642" t="str">
            <v>6 weeks</v>
          </cell>
          <cell r="Q642"/>
          <cell r="R642"/>
        </row>
        <row r="643">
          <cell r="B643">
            <v>637</v>
          </cell>
          <cell r="C643">
            <v>1</v>
          </cell>
          <cell r="D643" t="str">
            <v>Counterweight</v>
          </cell>
          <cell r="E643" t="str">
            <v>ОСП0010895</v>
          </cell>
          <cell r="F643">
            <v>46451503118</v>
          </cell>
          <cell r="G643" t="str">
            <v>61754600006_00</v>
          </cell>
          <cell r="H643" t="str">
            <v>Груз стальной, 805х140х10, 8,5 кг</v>
          </cell>
          <cell r="I643" t="str">
            <v>Filler steel, 805х140х10, 8,5 kg</v>
          </cell>
          <cell r="J643" t="str">
            <v>компл</v>
          </cell>
          <cell r="K643">
            <v>8</v>
          </cell>
          <cell r="L643"/>
          <cell r="M643" t="str">
            <v>Order</v>
          </cell>
          <cell r="N643" t="str">
            <v>Russia</v>
          </cell>
          <cell r="O643" t="str">
            <v>Монолитбетон</v>
          </cell>
          <cell r="P643" t="str">
            <v>6 weeks</v>
          </cell>
          <cell r="Q643"/>
          <cell r="R643"/>
        </row>
        <row r="644">
          <cell r="B644">
            <v>638</v>
          </cell>
          <cell r="C644">
            <v>1</v>
          </cell>
          <cell r="D644" t="str">
            <v>Fixation</v>
          </cell>
          <cell r="E644" t="str">
            <v>ОСП0010931</v>
          </cell>
          <cell r="F644">
            <v>40451523068</v>
          </cell>
          <cell r="G644"/>
          <cell r="H644" t="str">
            <v>Болт шестигранный M16x60 DIN 933, к.п. 8.8, оцинкованный</v>
          </cell>
          <cell r="I644" t="str">
            <v>Hexagon screw M16x60 DIN 933, 8.8, zinced</v>
          </cell>
          <cell r="J644" t="str">
            <v>шт</v>
          </cell>
          <cell r="K644">
            <v>7</v>
          </cell>
          <cell r="L644"/>
          <cell r="M644" t="str">
            <v>Stock</v>
          </cell>
          <cell r="N644" t="str">
            <v>Russia</v>
          </cell>
          <cell r="O644"/>
          <cell r="P644" t="str">
            <v>2-4 weeks</v>
          </cell>
          <cell r="Q644">
            <v>42786</v>
          </cell>
          <cell r="R644"/>
        </row>
        <row r="645">
          <cell r="B645">
            <v>639</v>
          </cell>
          <cell r="C645">
            <v>1</v>
          </cell>
          <cell r="D645" t="str">
            <v>Buffer</v>
          </cell>
          <cell r="E645" t="str">
            <v>ОСП0010932</v>
          </cell>
          <cell r="F645">
            <v>46451502030</v>
          </cell>
          <cell r="G645" t="str">
            <v>60214600100_00</v>
          </cell>
          <cell r="H645" t="str">
            <v>Опора буфера</v>
          </cell>
          <cell r="I645" t="str">
            <v>Buffer support</v>
          </cell>
          <cell r="J645" t="str">
            <v>шт</v>
          </cell>
          <cell r="K645">
            <v>7</v>
          </cell>
          <cell r="L645"/>
          <cell r="M645" t="str">
            <v>Order</v>
          </cell>
          <cell r="N645" t="str">
            <v>Russia</v>
          </cell>
          <cell r="O645" t="str">
            <v>Эталон</v>
          </cell>
          <cell r="P645" t="str">
            <v>4 weeks</v>
          </cell>
          <cell r="Q645">
            <v>42787</v>
          </cell>
          <cell r="R645" t="str">
            <v>Car buffer support, H = L + 24</v>
          </cell>
        </row>
        <row r="646">
          <cell r="B646">
            <v>640</v>
          </cell>
          <cell r="C646">
            <v>1</v>
          </cell>
          <cell r="D646" t="str">
            <v>Car</v>
          </cell>
          <cell r="E646" t="str">
            <v>ОСП0010976</v>
          </cell>
          <cell r="F646">
            <v>46451519268</v>
          </cell>
          <cell r="G646"/>
          <cell r="H646" t="str">
            <v>Кабина лифта RRL1000W-SS-M-2SO1200R (кам. пол)</v>
          </cell>
          <cell r="I646" t="str">
            <v>RRL1000W-SS-M-2SO1200R (stone floor)</v>
          </cell>
          <cell r="J646" t="str">
            <v>компл</v>
          </cell>
          <cell r="K646">
            <v>9</v>
          </cell>
          <cell r="L646"/>
          <cell r="M646" t="str">
            <v>Order</v>
          </cell>
          <cell r="N646" t="str">
            <v>Russia</v>
          </cell>
          <cell r="O646" t="str">
            <v>Эталон</v>
          </cell>
          <cell r="P646" t="str">
            <v>6 weeks</v>
          </cell>
          <cell r="Q646">
            <v>42801</v>
          </cell>
          <cell r="R646"/>
        </row>
        <row r="647">
          <cell r="B647">
            <v>641</v>
          </cell>
          <cell r="C647">
            <v>1</v>
          </cell>
          <cell r="D647" t="str">
            <v>Car</v>
          </cell>
          <cell r="E647" t="str">
            <v>ОСП0010977</v>
          </cell>
          <cell r="F647">
            <v>46451519269</v>
          </cell>
          <cell r="G647"/>
          <cell r="H647" t="str">
            <v>Кабина лифта  RRL630-SS-M-2SO900L (кам. пол)</v>
          </cell>
          <cell r="I647" t="str">
            <v>RRL630-SS-M-2SO900L (stone floor)</v>
          </cell>
          <cell r="J647" t="str">
            <v>компл</v>
          </cell>
          <cell r="K647">
            <v>9</v>
          </cell>
          <cell r="L647"/>
          <cell r="M647" t="str">
            <v>Order</v>
          </cell>
          <cell r="N647" t="str">
            <v>Russia</v>
          </cell>
          <cell r="O647" t="str">
            <v>Эталон</v>
          </cell>
          <cell r="P647" t="str">
            <v>6 weeks</v>
          </cell>
          <cell r="Q647">
            <v>42801</v>
          </cell>
          <cell r="R647"/>
        </row>
        <row r="648">
          <cell r="B648">
            <v>642</v>
          </cell>
          <cell r="C648">
            <v>1</v>
          </cell>
          <cell r="D648" t="str">
            <v>Other</v>
          </cell>
          <cell r="E648"/>
          <cell r="F648">
            <v>10000080001</v>
          </cell>
          <cell r="G648"/>
          <cell r="H648" t="str">
            <v>Опресовка канатов (1 канат)</v>
          </cell>
          <cell r="I648" t="str">
            <v>Rope crimping (1 rope)</v>
          </cell>
          <cell r="J648"/>
          <cell r="K648"/>
          <cell r="L648"/>
          <cell r="M648"/>
          <cell r="N648" t="str">
            <v>Russia</v>
          </cell>
          <cell r="O648" t="str">
            <v>ЗАО МИКАС</v>
          </cell>
          <cell r="P648"/>
          <cell r="Q648">
            <v>42803</v>
          </cell>
          <cell r="R648" t="str">
            <v>Cost = 250 RUB. Average rope length = 35 m. Cost per 1 m = 250/35 = 7,14 RUB</v>
          </cell>
        </row>
        <row r="649">
          <cell r="B649">
            <v>643</v>
          </cell>
          <cell r="C649">
            <v>1</v>
          </cell>
          <cell r="D649" t="str">
            <v>Other</v>
          </cell>
          <cell r="E649"/>
          <cell r="F649">
            <v>10000080002</v>
          </cell>
          <cell r="G649"/>
          <cell r="H649" t="str">
            <v>Размотка каната (1 м)</v>
          </cell>
          <cell r="I649" t="str">
            <v>Rope unwinding (1 m)</v>
          </cell>
          <cell r="J649"/>
          <cell r="K649"/>
          <cell r="L649"/>
          <cell r="M649"/>
          <cell r="N649" t="str">
            <v>Russia</v>
          </cell>
          <cell r="O649" t="str">
            <v>ЗАО МИКАС</v>
          </cell>
          <cell r="P649"/>
          <cell r="Q649">
            <v>42803</v>
          </cell>
          <cell r="R649"/>
        </row>
        <row r="650">
          <cell r="B650">
            <v>644</v>
          </cell>
          <cell r="C650">
            <v>1</v>
          </cell>
          <cell r="D650" t="str">
            <v>Other</v>
          </cell>
          <cell r="E650"/>
          <cell r="F650">
            <v>10000080003</v>
          </cell>
          <cell r="G650"/>
          <cell r="H650" t="str">
            <v>Услуги по упаковке каната (1 комплект)</v>
          </cell>
          <cell r="I650" t="str">
            <v>Rope packing services (1 package)</v>
          </cell>
          <cell r="J650"/>
          <cell r="K650"/>
          <cell r="L650"/>
          <cell r="M650"/>
          <cell r="N650" t="str">
            <v>Russia</v>
          </cell>
          <cell r="O650" t="str">
            <v>ЗАО МИКАС</v>
          </cell>
          <cell r="P650"/>
          <cell r="Q650">
            <v>42803</v>
          </cell>
          <cell r="R650" t="str">
            <v>Cost = 130 RUB. Average rope length=35 m, quantity = 5. Cost per 1 m = 130/(35*6) = 0,62</v>
          </cell>
        </row>
        <row r="651">
          <cell r="B651">
            <v>645</v>
          </cell>
          <cell r="C651">
            <v>1</v>
          </cell>
          <cell r="D651" t="str">
            <v>Other</v>
          </cell>
          <cell r="E651"/>
          <cell r="F651">
            <v>10000080004</v>
          </cell>
          <cell r="G651"/>
          <cell r="H651" t="str">
            <v>Транспортировка каната (1 м)</v>
          </cell>
          <cell r="I651" t="str">
            <v>Rope transportation (1 m)</v>
          </cell>
          <cell r="J651"/>
          <cell r="K651"/>
          <cell r="L651"/>
          <cell r="M651"/>
          <cell r="N651" t="str">
            <v>Russia</v>
          </cell>
          <cell r="O651" t="str">
            <v>ЗАО МИКАС</v>
          </cell>
          <cell r="P651"/>
          <cell r="Q651">
            <v>42803</v>
          </cell>
          <cell r="R651"/>
        </row>
        <row r="652">
          <cell r="B652">
            <v>646</v>
          </cell>
          <cell r="C652">
            <v>1</v>
          </cell>
          <cell r="D652" t="str">
            <v>Car</v>
          </cell>
          <cell r="E652" t="str">
            <v>ОСП0010993</v>
          </cell>
          <cell r="F652">
            <v>46451519270</v>
          </cell>
          <cell r="G652"/>
          <cell r="H652" t="str">
            <v>Кабина лифта RRL1000W-SS-M-2SO1200L (вырез COP 230х1030)</v>
          </cell>
          <cell r="I652" t="str">
            <v>RRL1000W-SS-M-2SO1200L (COP cut out 230х1030)</v>
          </cell>
          <cell r="J652" t="str">
            <v>компл</v>
          </cell>
          <cell r="K652">
            <v>9</v>
          </cell>
          <cell r="L652"/>
          <cell r="M652" t="str">
            <v>Order</v>
          </cell>
          <cell r="N652" t="str">
            <v>Russia</v>
          </cell>
          <cell r="O652" t="str">
            <v>Эталон</v>
          </cell>
          <cell r="P652" t="str">
            <v>6 weeks</v>
          </cell>
          <cell r="Q652">
            <v>42807</v>
          </cell>
          <cell r="R652"/>
        </row>
        <row r="653">
          <cell r="B653">
            <v>647</v>
          </cell>
          <cell r="C653">
            <v>1</v>
          </cell>
          <cell r="D653" t="str">
            <v>Car</v>
          </cell>
          <cell r="E653" t="str">
            <v>ОСП0010994</v>
          </cell>
          <cell r="F653">
            <v>46451519271</v>
          </cell>
          <cell r="G653"/>
          <cell r="H653" t="str">
            <v>Кабина лифта  RRL630-SS-M-2SO900L (вырез COP 230х1030)</v>
          </cell>
          <cell r="I653" t="str">
            <v>RRL630-SS-M-2SO900L (COP cut out 230х1030)</v>
          </cell>
          <cell r="J653" t="str">
            <v>компл</v>
          </cell>
          <cell r="K653">
            <v>9</v>
          </cell>
          <cell r="L653"/>
          <cell r="M653" t="str">
            <v>Order</v>
          </cell>
          <cell r="N653" t="str">
            <v>Russia</v>
          </cell>
          <cell r="O653" t="str">
            <v>Эталон</v>
          </cell>
          <cell r="P653" t="str">
            <v>6 weeks</v>
          </cell>
          <cell r="Q653">
            <v>42807</v>
          </cell>
          <cell r="R653"/>
        </row>
        <row r="654">
          <cell r="B654">
            <v>648</v>
          </cell>
          <cell r="C654">
            <v>1</v>
          </cell>
          <cell r="D654" t="str">
            <v>Door</v>
          </cell>
          <cell r="E654" t="str">
            <v>ОСП0011008</v>
          </cell>
          <cell r="F654">
            <v>46451511053</v>
          </cell>
          <cell r="G654"/>
          <cell r="H654" t="str">
            <v>Дверь шахты ТЛДШ 20.14, 2SO-900-2000L-EI60-SS</v>
          </cell>
          <cell r="I654" t="str">
            <v>Landing door ТЛДШ 20.14, 2SO-900-2000L-EI60-SS</v>
          </cell>
          <cell r="J654" t="str">
            <v>шт</v>
          </cell>
          <cell r="K654">
            <v>13</v>
          </cell>
          <cell r="L654"/>
          <cell r="M654" t="str">
            <v>Order</v>
          </cell>
          <cell r="N654" t="str">
            <v>Russia</v>
          </cell>
          <cell r="O654" t="str">
            <v>Тула Лифт</v>
          </cell>
          <cell r="P654" t="str">
            <v>8 weeks</v>
          </cell>
          <cell r="Q654">
            <v>42811</v>
          </cell>
          <cell r="R654"/>
        </row>
        <row r="655">
          <cell r="B655">
            <v>649</v>
          </cell>
          <cell r="C655">
            <v>1</v>
          </cell>
          <cell r="D655" t="str">
            <v>Bracket</v>
          </cell>
          <cell r="E655" t="str">
            <v>ОСП0011013</v>
          </cell>
          <cell r="F655">
            <v>46456606043</v>
          </cell>
          <cell r="G655" t="str">
            <v>60114600100_00</v>
          </cell>
          <cell r="H655" t="str">
            <v>AY Кронштейн направляющей T90 / T50 (соосный), 265-325 мм</v>
          </cell>
          <cell r="I655" t="str">
            <v>AY GR bracket T90 / T50 (coaxial), 265-325 mm</v>
          </cell>
          <cell r="J655" t="str">
            <v>компл</v>
          </cell>
          <cell r="K655">
            <v>3</v>
          </cell>
          <cell r="L655" t="str">
            <v>Assembly</v>
          </cell>
          <cell r="M655" t="str">
            <v>Order</v>
          </cell>
          <cell r="N655" t="str">
            <v>Russia</v>
          </cell>
          <cell r="O655" t="str">
            <v>Эталон</v>
          </cell>
          <cell r="P655" t="str">
            <v>4 weeks</v>
          </cell>
          <cell r="Q655">
            <v>42811</v>
          </cell>
          <cell r="R655"/>
        </row>
        <row r="656">
          <cell r="B656">
            <v>650</v>
          </cell>
          <cell r="C656">
            <v>1</v>
          </cell>
          <cell r="D656" t="str">
            <v>Bracket</v>
          </cell>
          <cell r="E656" t="str">
            <v>ОСП0011016</v>
          </cell>
          <cell r="F656"/>
          <cell r="G656"/>
          <cell r="H656" t="str">
            <v>Кронштейн направляющей T90 / T50 (соосный), 265-325 мм</v>
          </cell>
          <cell r="I656" t="str">
            <v>GR bracket T90 / T50 (coaxial), 265-325 mm</v>
          </cell>
          <cell r="J656" t="str">
            <v>шт</v>
          </cell>
          <cell r="K656"/>
          <cell r="L656"/>
          <cell r="M656" t="str">
            <v>Order</v>
          </cell>
          <cell r="N656" t="str">
            <v>Russia</v>
          </cell>
          <cell r="O656" t="str">
            <v>Эталон</v>
          </cell>
          <cell r="P656" t="str">
            <v>4 weeks</v>
          </cell>
          <cell r="Q656">
            <v>42811</v>
          </cell>
          <cell r="R656"/>
        </row>
        <row r="657">
          <cell r="B657">
            <v>651</v>
          </cell>
          <cell r="C657">
            <v>1</v>
          </cell>
          <cell r="D657" t="str">
            <v>Bracket</v>
          </cell>
          <cell r="E657" t="str">
            <v>ОСП0011014</v>
          </cell>
          <cell r="F657">
            <v>46456606044</v>
          </cell>
          <cell r="G657" t="str">
            <v>60114600200_00</v>
          </cell>
          <cell r="H657" t="str">
            <v>AY Кронштейн направляющей T70 / T50 (соосный), 220-280 мм</v>
          </cell>
          <cell r="I657" t="str">
            <v>AY GR bracket T70 / T50 (coaxial), 220-280 mm</v>
          </cell>
          <cell r="J657" t="str">
            <v>компл</v>
          </cell>
          <cell r="K657">
            <v>3</v>
          </cell>
          <cell r="L657" t="str">
            <v>Assembly</v>
          </cell>
          <cell r="M657" t="str">
            <v>Order</v>
          </cell>
          <cell r="N657" t="str">
            <v>Russia</v>
          </cell>
          <cell r="O657" t="str">
            <v>Эталон</v>
          </cell>
          <cell r="P657" t="str">
            <v>4 weeks</v>
          </cell>
          <cell r="Q657">
            <v>42811</v>
          </cell>
          <cell r="R657"/>
        </row>
        <row r="658">
          <cell r="B658">
            <v>652</v>
          </cell>
          <cell r="C658">
            <v>1</v>
          </cell>
          <cell r="D658" t="str">
            <v>Bracket</v>
          </cell>
          <cell r="E658" t="str">
            <v>ОСП0011017</v>
          </cell>
          <cell r="F658"/>
          <cell r="G658"/>
          <cell r="H658" t="str">
            <v>Кронштейн направляющей T70 / T50 (соосный), 220-280 мм</v>
          </cell>
          <cell r="I658" t="str">
            <v>GR bracket T70 / T50 (coaxial), 220-280 mm</v>
          </cell>
          <cell r="J658" t="str">
            <v>шт</v>
          </cell>
          <cell r="K658"/>
          <cell r="L658"/>
          <cell r="M658" t="str">
            <v>Order</v>
          </cell>
          <cell r="N658" t="str">
            <v>Russia</v>
          </cell>
          <cell r="O658" t="str">
            <v>Эталон</v>
          </cell>
          <cell r="P658" t="str">
            <v>4 weeks</v>
          </cell>
          <cell r="Q658">
            <v>42811</v>
          </cell>
          <cell r="R658"/>
        </row>
        <row r="659">
          <cell r="B659">
            <v>653</v>
          </cell>
          <cell r="C659">
            <v>1</v>
          </cell>
          <cell r="D659" t="str">
            <v>Bracket</v>
          </cell>
          <cell r="E659" t="str">
            <v>ОСП0011015</v>
          </cell>
          <cell r="F659">
            <v>46456606045</v>
          </cell>
          <cell r="G659" t="str">
            <v>60114600200_00</v>
          </cell>
          <cell r="H659" t="str">
            <v>AY Кронштейн направляющей T90 / T50 (соосный), 220-280 мм</v>
          </cell>
          <cell r="I659" t="str">
            <v>AY GR bracket T90 / T50 (coaxial), 220-280 mm</v>
          </cell>
          <cell r="J659" t="str">
            <v>компл</v>
          </cell>
          <cell r="K659">
            <v>3</v>
          </cell>
          <cell r="L659" t="str">
            <v>Assembly</v>
          </cell>
          <cell r="M659" t="str">
            <v>Order</v>
          </cell>
          <cell r="N659" t="str">
            <v>Russia</v>
          </cell>
          <cell r="O659" t="str">
            <v>Эталон</v>
          </cell>
          <cell r="P659" t="str">
            <v>4 weeks</v>
          </cell>
          <cell r="Q659">
            <v>42811</v>
          </cell>
          <cell r="R659"/>
        </row>
        <row r="660">
          <cell r="B660">
            <v>654</v>
          </cell>
          <cell r="C660">
            <v>1</v>
          </cell>
          <cell r="D660" t="str">
            <v>Bracket</v>
          </cell>
          <cell r="E660" t="str">
            <v>ОСП0011018</v>
          </cell>
          <cell r="F660"/>
          <cell r="G660"/>
          <cell r="H660" t="str">
            <v>Кронштейн направляющей T90 / T50 (соосный), 220-280 мм</v>
          </cell>
          <cell r="I660" t="str">
            <v>GR bracket T90 / T50 (coaxial), 220-280 mm</v>
          </cell>
          <cell r="J660" t="str">
            <v>шт</v>
          </cell>
          <cell r="K660"/>
          <cell r="L660"/>
          <cell r="M660" t="str">
            <v>Order</v>
          </cell>
          <cell r="N660" t="str">
            <v>Russia</v>
          </cell>
          <cell r="O660" t="str">
            <v>Эталон</v>
          </cell>
          <cell r="P660" t="str">
            <v>4 weeks</v>
          </cell>
          <cell r="Q660">
            <v>42811</v>
          </cell>
          <cell r="R660"/>
        </row>
        <row r="661">
          <cell r="B661">
            <v>655</v>
          </cell>
          <cell r="C661">
            <v>1</v>
          </cell>
          <cell r="D661" t="str">
            <v>Buffer</v>
          </cell>
          <cell r="E661" t="str">
            <v>ОСП0010932</v>
          </cell>
          <cell r="F661">
            <v>46451502030</v>
          </cell>
          <cell r="G661" t="str">
            <v>60214600100_00</v>
          </cell>
          <cell r="H661" t="str">
            <v>Опора буфера</v>
          </cell>
          <cell r="I661" t="str">
            <v>Buffer support</v>
          </cell>
          <cell r="J661" t="str">
            <v>шт</v>
          </cell>
          <cell r="K661">
            <v>7</v>
          </cell>
          <cell r="L661"/>
          <cell r="M661" t="str">
            <v>Order</v>
          </cell>
          <cell r="N661" t="str">
            <v>Russia</v>
          </cell>
          <cell r="O661" t="str">
            <v>Эталон</v>
          </cell>
          <cell r="P661" t="str">
            <v>4 weeks</v>
          </cell>
          <cell r="Q661">
            <v>42828</v>
          </cell>
          <cell r="R661" t="str">
            <v>CWT buffer support, H = L + 24</v>
          </cell>
        </row>
        <row r="662">
          <cell r="B662">
            <v>656</v>
          </cell>
          <cell r="C662">
            <v>1</v>
          </cell>
          <cell r="D662" t="str">
            <v>Fixation</v>
          </cell>
          <cell r="E662" t="str">
            <v>ОСП0007226</v>
          </cell>
          <cell r="F662">
            <v>46452404006</v>
          </cell>
          <cell r="G662"/>
          <cell r="H662" t="str">
            <v>Дюбель-гвоздь 6х60</v>
          </cell>
          <cell r="I662" t="str">
            <v>Nail dowel 6х60</v>
          </cell>
          <cell r="J662" t="str">
            <v>шт</v>
          </cell>
          <cell r="K662">
            <v>17</v>
          </cell>
          <cell r="L662"/>
          <cell r="M662" t="str">
            <v>Stock</v>
          </cell>
          <cell r="N662" t="str">
            <v>Russia</v>
          </cell>
          <cell r="O662"/>
          <cell r="P662" t="str">
            <v>2 weeks</v>
          </cell>
          <cell r="Q662">
            <v>42849</v>
          </cell>
          <cell r="R662"/>
        </row>
        <row r="663">
          <cell r="B663">
            <v>657</v>
          </cell>
          <cell r="C663">
            <v>1</v>
          </cell>
          <cell r="D663" t="str">
            <v>Other</v>
          </cell>
          <cell r="E663" t="str">
            <v>ОСП0005232</v>
          </cell>
          <cell r="F663">
            <v>40502103001</v>
          </cell>
          <cell r="G663"/>
          <cell r="H663" t="str">
            <v>Лифт типа Evolution Blue</v>
          </cell>
          <cell r="I663" t="str">
            <v>Lift type Evolution Blue</v>
          </cell>
          <cell r="J663" t="str">
            <v>шт</v>
          </cell>
          <cell r="K663">
            <v>0</v>
          </cell>
          <cell r="L663"/>
          <cell r="M663" t="str">
            <v>Order</v>
          </cell>
          <cell r="N663" t="str">
            <v>Germany</v>
          </cell>
          <cell r="O663" t="str">
            <v>tkAW</v>
          </cell>
          <cell r="P663" t="str">
            <v>16 weeks</v>
          </cell>
          <cell r="Q663">
            <v>42866</v>
          </cell>
          <cell r="R663" t="str">
            <v>Лифт для доукомплектации</v>
          </cell>
        </row>
        <row r="664">
          <cell r="B664">
            <v>658</v>
          </cell>
          <cell r="C664">
            <v>1</v>
          </cell>
          <cell r="D664" t="str">
            <v>Door</v>
          </cell>
          <cell r="E664" t="str">
            <v>ОСП0010929</v>
          </cell>
          <cell r="F664">
            <v>59451511082</v>
          </cell>
          <cell r="G664"/>
          <cell r="H664" t="str">
            <v>Дверь шахты Fermator</v>
          </cell>
          <cell r="I664" t="str">
            <v>Fermator landing door</v>
          </cell>
          <cell r="J664" t="str">
            <v>шт</v>
          </cell>
          <cell r="K664">
            <v>13</v>
          </cell>
          <cell r="L664"/>
          <cell r="M664" t="str">
            <v>Order</v>
          </cell>
          <cell r="N664" t="str">
            <v>Poland</v>
          </cell>
          <cell r="O664" t="str">
            <v>Enginova</v>
          </cell>
          <cell r="P664" t="str">
            <v>5-8 weeks</v>
          </cell>
          <cell r="Q664">
            <v>42866</v>
          </cell>
          <cell r="R664"/>
        </row>
        <row r="665">
          <cell r="B665">
            <v>659</v>
          </cell>
          <cell r="C665">
            <v>1</v>
          </cell>
          <cell r="D665" t="str">
            <v>Door</v>
          </cell>
          <cell r="E665" t="str">
            <v>ОСП0010930</v>
          </cell>
          <cell r="F665">
            <v>59451511083</v>
          </cell>
          <cell r="G665"/>
          <cell r="H665" t="str">
            <v>Дверь кабины Fermator</v>
          </cell>
          <cell r="I665" t="str">
            <v>Fermator car door</v>
          </cell>
          <cell r="J665" t="str">
            <v>шт</v>
          </cell>
          <cell r="K665">
            <v>13</v>
          </cell>
          <cell r="L665"/>
          <cell r="M665" t="str">
            <v>Order</v>
          </cell>
          <cell r="N665" t="str">
            <v>Poland</v>
          </cell>
          <cell r="O665" t="str">
            <v>Enginova</v>
          </cell>
          <cell r="P665" t="str">
            <v>5-8 weeks</v>
          </cell>
          <cell r="Q665">
            <v>42866</v>
          </cell>
          <cell r="R665"/>
        </row>
        <row r="666">
          <cell r="B666">
            <v>660</v>
          </cell>
          <cell r="C666">
            <v>1</v>
          </cell>
          <cell r="D666" t="str">
            <v>Car</v>
          </cell>
          <cell r="E666" t="str">
            <v>ОСП0011250</v>
          </cell>
          <cell r="F666">
            <v>46451519272</v>
          </cell>
          <cell r="G666"/>
          <cell r="H666" t="str">
            <v>Кабина лифта RRL1000W-FF-RAL7032-M-2SO1200R (кам. пол, смещ 150)</v>
          </cell>
          <cell r="I666" t="str">
            <v>RRL1000W-FF-RAL7032-M-2SO1200R (stone floor, offset 150)</v>
          </cell>
          <cell r="J666" t="str">
            <v>компл</v>
          </cell>
          <cell r="K666">
            <v>9</v>
          </cell>
          <cell r="L666"/>
          <cell r="M666" t="str">
            <v>Order</v>
          </cell>
          <cell r="N666" t="str">
            <v>Russia</v>
          </cell>
          <cell r="O666" t="str">
            <v>Эталон</v>
          </cell>
          <cell r="P666" t="str">
            <v>6 weeks</v>
          </cell>
          <cell r="Q666">
            <v>42879</v>
          </cell>
          <cell r="R666"/>
        </row>
        <row r="667">
          <cell r="B667">
            <v>661</v>
          </cell>
          <cell r="C667">
            <v>1</v>
          </cell>
          <cell r="D667" t="str">
            <v>Car</v>
          </cell>
          <cell r="E667" t="str">
            <v>ОСП0011251</v>
          </cell>
          <cell r="F667">
            <v>46451519273</v>
          </cell>
          <cell r="G667"/>
          <cell r="H667" t="str">
            <v>Кабина лифта RRL400-RAL7032-M-2SO700L (кам. пол)</v>
          </cell>
          <cell r="I667" t="str">
            <v>RRL400-RAL7032-M-2SO700L (stone floor)</v>
          </cell>
          <cell r="J667" t="str">
            <v>компл</v>
          </cell>
          <cell r="K667">
            <v>9</v>
          </cell>
          <cell r="L667"/>
          <cell r="M667" t="str">
            <v>Order</v>
          </cell>
          <cell r="N667" t="str">
            <v>Russia</v>
          </cell>
          <cell r="O667" t="str">
            <v>Эталон</v>
          </cell>
          <cell r="P667" t="str">
            <v>6 weeks</v>
          </cell>
          <cell r="Q667">
            <v>42879</v>
          </cell>
          <cell r="R667"/>
        </row>
        <row r="668">
          <cell r="B668">
            <v>662</v>
          </cell>
          <cell r="C668">
            <v>0</v>
          </cell>
          <cell r="D668" t="str">
            <v>Counterweight</v>
          </cell>
          <cell r="E668" t="str">
            <v>ОСП0011301</v>
          </cell>
          <cell r="F668">
            <v>46451503119</v>
          </cell>
          <cell r="G668" t="str">
            <v>6175S006000_00</v>
          </cell>
          <cell r="H668" t="str">
            <v>Груз бетонный, 805х195х60, 21,5 кг</v>
          </cell>
          <cell r="I668" t="str">
            <v>Filler concrete, 805х195х60, 21,5 kg</v>
          </cell>
          <cell r="J668" t="str">
            <v>компл</v>
          </cell>
          <cell r="K668">
            <v>8</v>
          </cell>
          <cell r="L668"/>
          <cell r="M668" t="str">
            <v>Order</v>
          </cell>
          <cell r="N668" t="str">
            <v>Russia</v>
          </cell>
          <cell r="O668" t="str">
            <v>Монолитбетон</v>
          </cell>
          <cell r="P668" t="str">
            <v>6 weeks</v>
          </cell>
          <cell r="Q668">
            <v>42893</v>
          </cell>
          <cell r="R668"/>
        </row>
        <row r="669">
          <cell r="B669">
            <v>663</v>
          </cell>
          <cell r="C669">
            <v>1</v>
          </cell>
          <cell r="D669" t="str">
            <v>Car</v>
          </cell>
          <cell r="E669" t="str">
            <v>ОСП0011308</v>
          </cell>
          <cell r="F669">
            <v>46451519274</v>
          </cell>
          <cell r="G669"/>
          <cell r="H669" t="str">
            <v>Кабина лифта RRL1000W-FF-SS-M-2SO1200L (Лён)</v>
          </cell>
          <cell r="I669" t="str">
            <v>RRL1000W-FF-SS-M-2SO1200L (Linen)</v>
          </cell>
          <cell r="J669" t="str">
            <v>компл</v>
          </cell>
          <cell r="K669">
            <v>9</v>
          </cell>
          <cell r="L669"/>
          <cell r="M669" t="str">
            <v>Order</v>
          </cell>
          <cell r="N669" t="str">
            <v>Russia</v>
          </cell>
          <cell r="O669" t="str">
            <v>Эталон</v>
          </cell>
          <cell r="P669" t="str">
            <v>6 weeks</v>
          </cell>
          <cell r="Q669">
            <v>42895</v>
          </cell>
          <cell r="R669" t="str">
            <v>Copied from id 372</v>
          </cell>
        </row>
        <row r="670">
          <cell r="B670">
            <v>664</v>
          </cell>
          <cell r="C670">
            <v>1</v>
          </cell>
          <cell r="D670" t="str">
            <v>Car</v>
          </cell>
          <cell r="E670" t="str">
            <v>ОСП0011309</v>
          </cell>
          <cell r="F670">
            <v>46451519275</v>
          </cell>
          <cell r="G670"/>
          <cell r="H670" t="str">
            <v>Кабина лифта RRL400-SS-M-2CO700 (Лён)</v>
          </cell>
          <cell r="I670" t="str">
            <v>RRL400-SS-M-2CO700 (Linen)</v>
          </cell>
          <cell r="J670" t="str">
            <v>компл</v>
          </cell>
          <cell r="K670">
            <v>9</v>
          </cell>
          <cell r="L670"/>
          <cell r="M670" t="str">
            <v>Order</v>
          </cell>
          <cell r="N670" t="str">
            <v>Russia</v>
          </cell>
          <cell r="O670" t="str">
            <v>Эталон</v>
          </cell>
          <cell r="P670" t="str">
            <v>6 weeks</v>
          </cell>
          <cell r="Q670">
            <v>42895</v>
          </cell>
          <cell r="R670"/>
        </row>
        <row r="671">
          <cell r="B671">
            <v>665</v>
          </cell>
          <cell r="C671">
            <v>1</v>
          </cell>
          <cell r="D671" t="str">
            <v>Door</v>
          </cell>
          <cell r="E671" t="str">
            <v>ОСП0011310</v>
          </cell>
          <cell r="F671">
            <v>59451511086</v>
          </cell>
          <cell r="G671"/>
          <cell r="H671" t="str">
            <v>Дверь шахты Fermator 40/10 2SO-1200-2000L-EI60-SS (Лён)</v>
          </cell>
          <cell r="I671" t="str">
            <v>Landing door Fermator 40/10 2SO-1200-2000L-EI60-SS (Linen)</v>
          </cell>
          <cell r="J671" t="str">
            <v>шт</v>
          </cell>
          <cell r="K671">
            <v>13</v>
          </cell>
          <cell r="L671"/>
          <cell r="M671" t="str">
            <v>Order</v>
          </cell>
          <cell r="N671" t="str">
            <v>Poland</v>
          </cell>
          <cell r="O671" t="str">
            <v>Enginova</v>
          </cell>
          <cell r="P671" t="str">
            <v>5-8 weeks</v>
          </cell>
          <cell r="Q671">
            <v>42895</v>
          </cell>
          <cell r="R671"/>
        </row>
        <row r="672">
          <cell r="B672">
            <v>666</v>
          </cell>
          <cell r="C672">
            <v>1</v>
          </cell>
          <cell r="D672" t="str">
            <v>Door</v>
          </cell>
          <cell r="E672" t="str">
            <v>ОСП0011311</v>
          </cell>
          <cell r="F672">
            <v>59451511084</v>
          </cell>
          <cell r="G672"/>
          <cell r="H672" t="str">
            <v>Дверь кабины Fermator Premium PM 2SO-1200-2000L-SS (Лён)</v>
          </cell>
          <cell r="I672" t="str">
            <v>Car door Fermator Premium PM 2SO-1200-2000L-SS (Linen)</v>
          </cell>
          <cell r="J672" t="str">
            <v>шт</v>
          </cell>
          <cell r="K672">
            <v>16</v>
          </cell>
          <cell r="L672"/>
          <cell r="M672" t="str">
            <v>Order</v>
          </cell>
          <cell r="N672" t="str">
            <v>Poland</v>
          </cell>
          <cell r="O672" t="str">
            <v>Enginova</v>
          </cell>
          <cell r="P672" t="str">
            <v>5-8 weeks</v>
          </cell>
          <cell r="Q672">
            <v>42895</v>
          </cell>
          <cell r="R672"/>
        </row>
        <row r="673">
          <cell r="B673">
            <v>667</v>
          </cell>
          <cell r="C673">
            <v>1</v>
          </cell>
          <cell r="D673" t="str">
            <v>Door</v>
          </cell>
          <cell r="E673" t="str">
            <v>ОСП0011312</v>
          </cell>
          <cell r="F673">
            <v>59451511087</v>
          </cell>
          <cell r="G673"/>
          <cell r="H673" t="str">
            <v>Дверь шахты Fermator 40/10 2CO-700-2000C-EI60-SS (Лён)</v>
          </cell>
          <cell r="I673" t="str">
            <v>Landing door Fermator 40/10 2CO-700-2000C-EI60-SS (Linen)</v>
          </cell>
          <cell r="J673" t="str">
            <v>шт</v>
          </cell>
          <cell r="K673">
            <v>13</v>
          </cell>
          <cell r="L673"/>
          <cell r="M673" t="str">
            <v>Order</v>
          </cell>
          <cell r="N673" t="str">
            <v>Poland</v>
          </cell>
          <cell r="O673" t="str">
            <v>Enginova</v>
          </cell>
          <cell r="P673" t="str">
            <v>5-8 weeks</v>
          </cell>
          <cell r="Q673">
            <v>42895</v>
          </cell>
          <cell r="R673"/>
        </row>
        <row r="674">
          <cell r="B674">
            <v>668</v>
          </cell>
          <cell r="C674">
            <v>1</v>
          </cell>
          <cell r="D674" t="str">
            <v>Door</v>
          </cell>
          <cell r="E674" t="str">
            <v>ОСП0011313</v>
          </cell>
          <cell r="F674">
            <v>59451511085</v>
          </cell>
          <cell r="G674"/>
          <cell r="H674" t="str">
            <v>Дверь кабины Fermator Premium PM 2CO-700-2000C-SS (Лён)</v>
          </cell>
          <cell r="I674" t="str">
            <v>Car door Fermator Premium PM 2CO-700-2000C-SS (Linen)</v>
          </cell>
          <cell r="J674" t="str">
            <v>шт</v>
          </cell>
          <cell r="K674">
            <v>16</v>
          </cell>
          <cell r="L674"/>
          <cell r="M674" t="str">
            <v>Order</v>
          </cell>
          <cell r="N674" t="str">
            <v>Poland</v>
          </cell>
          <cell r="O674" t="str">
            <v>Enginova</v>
          </cell>
          <cell r="P674" t="str">
            <v>5-8 weeks</v>
          </cell>
          <cell r="Q674">
            <v>42895</v>
          </cell>
          <cell r="R674"/>
        </row>
        <row r="675">
          <cell r="B675">
            <v>669</v>
          </cell>
          <cell r="C675">
            <v>1</v>
          </cell>
          <cell r="D675" t="str">
            <v>Car</v>
          </cell>
          <cell r="E675" t="str">
            <v>ОСП0011315</v>
          </cell>
          <cell r="F675">
            <v>46451519276</v>
          </cell>
          <cell r="G675"/>
          <cell r="H675" t="str">
            <v>Кабина лифта RRL400-RAL7032-M-2SO700R (кам. пол)</v>
          </cell>
          <cell r="I675" t="str">
            <v>RRL400-RAL7032-M-2SO700R (stone floor)</v>
          </cell>
          <cell r="J675" t="str">
            <v>компл</v>
          </cell>
          <cell r="K675">
            <v>9</v>
          </cell>
          <cell r="L675"/>
          <cell r="M675" t="str">
            <v>Order</v>
          </cell>
          <cell r="N675" t="str">
            <v>Russia</v>
          </cell>
          <cell r="O675" t="str">
            <v>Эталон</v>
          </cell>
          <cell r="P675" t="str">
            <v>6 weeks</v>
          </cell>
          <cell r="Q675">
            <v>42895</v>
          </cell>
          <cell r="R675"/>
        </row>
        <row r="676">
          <cell r="B676">
            <v>670</v>
          </cell>
          <cell r="C676">
            <v>1</v>
          </cell>
          <cell r="D676" t="str">
            <v>Door</v>
          </cell>
          <cell r="E676" t="str">
            <v>ОСП0011491</v>
          </cell>
          <cell r="F676">
            <v>46451513001</v>
          </cell>
          <cell r="G676" t="str">
            <v>60944600001_00</v>
          </cell>
          <cell r="H676" t="str">
            <v>Кронштейн ДШ V1</v>
          </cell>
          <cell r="I676" t="str">
            <v>Shaft door bracket V1</v>
          </cell>
          <cell r="J676" t="str">
            <v>шт</v>
          </cell>
          <cell r="K676">
            <v>13</v>
          </cell>
          <cell r="L676"/>
          <cell r="M676" t="str">
            <v>Order</v>
          </cell>
          <cell r="N676" t="str">
            <v>Russia</v>
          </cell>
          <cell r="O676" t="str">
            <v>Эталон</v>
          </cell>
          <cell r="P676" t="str">
            <v>2-4 weeks</v>
          </cell>
          <cell r="Q676">
            <v>42941</v>
          </cell>
          <cell r="R676" t="str">
            <v>Кронштейн для ДШ Fermator 40/10 с рамой 25 мм, верхний, вылет 55,5 / 93 мм</v>
          </cell>
        </row>
        <row r="677">
          <cell r="B677">
            <v>671</v>
          </cell>
          <cell r="C677">
            <v>1</v>
          </cell>
          <cell r="D677" t="str">
            <v>Door</v>
          </cell>
          <cell r="E677" t="str">
            <v>ОСП0011492</v>
          </cell>
          <cell r="F677">
            <v>46451513002</v>
          </cell>
          <cell r="G677" t="str">
            <v>60944600100_00</v>
          </cell>
          <cell r="H677" t="str">
            <v>Кронштейн ДШ V2</v>
          </cell>
          <cell r="I677" t="str">
            <v>Shaft door bracket V2</v>
          </cell>
          <cell r="J677" t="str">
            <v>шт</v>
          </cell>
          <cell r="K677">
            <v>13</v>
          </cell>
          <cell r="L677"/>
          <cell r="M677" t="str">
            <v>Order</v>
          </cell>
          <cell r="N677" t="str">
            <v>Russia</v>
          </cell>
          <cell r="O677" t="str">
            <v>Эталон</v>
          </cell>
          <cell r="P677" t="str">
            <v>2-4 weeks</v>
          </cell>
          <cell r="Q677">
            <v>42941</v>
          </cell>
          <cell r="R677" t="str">
            <v>Кронштейн для ДШ Fermator 40/10 с рамой 25 мм, нижний, двухсоставной, вылет 32,5 - 87,5 мм</v>
          </cell>
        </row>
        <row r="678">
          <cell r="B678">
            <v>672</v>
          </cell>
          <cell r="C678">
            <v>1</v>
          </cell>
          <cell r="D678" t="str">
            <v>Door</v>
          </cell>
          <cell r="E678" t="str">
            <v>ОСП0011493</v>
          </cell>
          <cell r="F678">
            <v>46451513003</v>
          </cell>
          <cell r="G678" t="str">
            <v>60944600002_00</v>
          </cell>
          <cell r="H678" t="str">
            <v>Кронштейн ДШ V3</v>
          </cell>
          <cell r="I678" t="str">
            <v>Shaft door bracket V3</v>
          </cell>
          <cell r="J678" t="str">
            <v>шт</v>
          </cell>
          <cell r="K678">
            <v>13</v>
          </cell>
          <cell r="L678"/>
          <cell r="M678" t="str">
            <v>Order</v>
          </cell>
          <cell r="N678" t="str">
            <v>Russia</v>
          </cell>
          <cell r="O678" t="str">
            <v>Эталон</v>
          </cell>
          <cell r="P678" t="str">
            <v>2-4 weeks</v>
          </cell>
          <cell r="Q678">
            <v>42941</v>
          </cell>
          <cell r="R678" t="str">
            <v>Кронштейн для ДШ Fermator 40/10 с рамой 25 мм TO1200, боковой балочный, вылет 110 мм</v>
          </cell>
        </row>
        <row r="679">
          <cell r="B679">
            <v>673</v>
          </cell>
          <cell r="C679">
            <v>1</v>
          </cell>
          <cell r="D679" t="str">
            <v>Car</v>
          </cell>
          <cell r="E679" t="str">
            <v>ОСП0011589</v>
          </cell>
          <cell r="F679">
            <v>46451519277</v>
          </cell>
          <cell r="G679"/>
          <cell r="H679" t="str">
            <v>Кабина лифта RRL1000D-FF-SS-M-2SO900L (кам. пол)</v>
          </cell>
          <cell r="I679" t="str">
            <v>RRL1000D-FF-SS-M-2SO900L (stone floor)</v>
          </cell>
          <cell r="J679" t="str">
            <v>компл</v>
          </cell>
          <cell r="K679">
            <v>9</v>
          </cell>
          <cell r="L679"/>
          <cell r="M679" t="str">
            <v>Order</v>
          </cell>
          <cell r="N679" t="str">
            <v>Russia</v>
          </cell>
          <cell r="O679" t="str">
            <v>Эталон</v>
          </cell>
          <cell r="P679" t="str">
            <v>6 weeks</v>
          </cell>
          <cell r="Q679">
            <v>42963</v>
          </cell>
          <cell r="R679"/>
        </row>
        <row r="680">
          <cell r="B680">
            <v>674</v>
          </cell>
          <cell r="C680">
            <v>1</v>
          </cell>
          <cell r="D680" t="str">
            <v>Car</v>
          </cell>
          <cell r="E680" t="str">
            <v>ОСП0011590</v>
          </cell>
          <cell r="F680">
            <v>46451519278</v>
          </cell>
          <cell r="G680"/>
          <cell r="H680" t="str">
            <v>Кабина лифта RRL1000D-FF-SS-M-2SO900R (кам. пол)</v>
          </cell>
          <cell r="I680" t="str">
            <v>RRL1000D-FF-SS-M-2SO900R (stone floor)</v>
          </cell>
          <cell r="J680" t="str">
            <v>компл</v>
          </cell>
          <cell r="K680">
            <v>9</v>
          </cell>
          <cell r="L680"/>
          <cell r="M680" t="str">
            <v>Order</v>
          </cell>
          <cell r="N680" t="str">
            <v>Russia</v>
          </cell>
          <cell r="O680" t="str">
            <v>Эталон</v>
          </cell>
          <cell r="P680" t="str">
            <v>6 weeks</v>
          </cell>
          <cell r="Q680">
            <v>42963</v>
          </cell>
          <cell r="R680"/>
        </row>
        <row r="681">
          <cell r="B681">
            <v>675</v>
          </cell>
          <cell r="C681">
            <v>1</v>
          </cell>
          <cell r="D681" t="str">
            <v>Rope</v>
          </cell>
          <cell r="E681" t="str">
            <v>ОСП0011653</v>
          </cell>
          <cell r="F681">
            <v>40451514500</v>
          </cell>
          <cell r="G681"/>
          <cell r="H681" t="str">
            <v>AY Комплект канатов GW PAWO F7S d11 и F3 d8</v>
          </cell>
          <cell r="I681" t="str">
            <v>AY Rope kit GW PAWO F7S d11 and F3 d8</v>
          </cell>
          <cell r="J681" t="str">
            <v>компл</v>
          </cell>
          <cell r="K681">
            <v>10</v>
          </cell>
          <cell r="L681" t="str">
            <v>Assembly</v>
          </cell>
          <cell r="M681" t="str">
            <v>Order</v>
          </cell>
          <cell r="N681" t="str">
            <v>Germany</v>
          </cell>
          <cell r="O681" t="str">
            <v>Gustav Wolf</v>
          </cell>
          <cell r="P681" t="str">
            <v>12 weeks</v>
          </cell>
          <cell r="Q681">
            <v>42989</v>
          </cell>
          <cell r="R681"/>
        </row>
        <row r="682">
          <cell r="B682">
            <v>676</v>
          </cell>
          <cell r="C682">
            <v>1</v>
          </cell>
          <cell r="D682" t="str">
            <v>Rope</v>
          </cell>
          <cell r="E682" t="str">
            <v>ОСП0011654</v>
          </cell>
          <cell r="F682">
            <v>40451514600</v>
          </cell>
          <cell r="G682"/>
          <cell r="H682" t="str">
            <v>AY Комплект канатов GW PAWO F7S d8 и F3 d8</v>
          </cell>
          <cell r="I682" t="str">
            <v>AY Rope kit GW PAWO F7S d8 and F3 d8</v>
          </cell>
          <cell r="J682" t="str">
            <v>компл</v>
          </cell>
          <cell r="K682">
            <v>10</v>
          </cell>
          <cell r="L682" t="str">
            <v>Assembly</v>
          </cell>
          <cell r="M682" t="str">
            <v>Order</v>
          </cell>
          <cell r="N682" t="str">
            <v>Germany</v>
          </cell>
          <cell r="O682" t="str">
            <v>Gustav Wolf</v>
          </cell>
          <cell r="P682" t="str">
            <v>12 weeks</v>
          </cell>
          <cell r="Q682">
            <v>42989</v>
          </cell>
          <cell r="R682"/>
        </row>
        <row r="683">
          <cell r="B683">
            <v>677</v>
          </cell>
          <cell r="C683">
            <v>1</v>
          </cell>
          <cell r="D683" t="str">
            <v>Traction machine</v>
          </cell>
          <cell r="E683" t="str">
            <v>ОСП0011685</v>
          </cell>
          <cell r="F683">
            <v>46450605022</v>
          </cell>
          <cell r="G683" t="str">
            <v>62324600300_01</v>
          </cell>
          <cell r="H683" t="str">
            <v>AY Рама лебедки TW63, отводной блок 360 мм (короткая)</v>
          </cell>
          <cell r="I683" t="str">
            <v>AY Traction machine TW63 frame, rope pulley 360 mm (short)</v>
          </cell>
          <cell r="J683" t="str">
            <v>компл</v>
          </cell>
          <cell r="K683">
            <v>1</v>
          </cell>
          <cell r="L683" t="str">
            <v>Assembly</v>
          </cell>
          <cell r="M683" t="str">
            <v>Order</v>
          </cell>
          <cell r="N683" t="str">
            <v>Russia</v>
          </cell>
          <cell r="O683" t="str">
            <v>Эталон</v>
          </cell>
          <cell r="P683" t="str">
            <v>2 weeks</v>
          </cell>
          <cell r="Q683">
            <v>43007</v>
          </cell>
          <cell r="R683"/>
        </row>
        <row r="684">
          <cell r="B684">
            <v>678</v>
          </cell>
          <cell r="C684">
            <v>1</v>
          </cell>
          <cell r="D684" t="str">
            <v>Traction machine</v>
          </cell>
          <cell r="E684" t="str">
            <v>ОСП0011691</v>
          </cell>
          <cell r="F684"/>
          <cell r="G684"/>
          <cell r="H684" t="str">
            <v>Рама лебедки TW63, отводной блок 360 мм (короткая)</v>
          </cell>
          <cell r="I684" t="str">
            <v>Traction machine TW63 frame, rope pulley 360 mm (short)</v>
          </cell>
          <cell r="J684" t="str">
            <v>шт</v>
          </cell>
          <cell r="K684"/>
          <cell r="L684"/>
          <cell r="M684" t="str">
            <v>Order</v>
          </cell>
          <cell r="N684" t="str">
            <v>Russia</v>
          </cell>
          <cell r="O684" t="str">
            <v>Эталон</v>
          </cell>
          <cell r="P684" t="str">
            <v>2 weeks</v>
          </cell>
          <cell r="Q684">
            <v>43007</v>
          </cell>
          <cell r="R684"/>
        </row>
        <row r="685">
          <cell r="B685">
            <v>679</v>
          </cell>
          <cell r="C685">
            <v>1</v>
          </cell>
          <cell r="D685" t="str">
            <v>Traction machine</v>
          </cell>
          <cell r="E685" t="str">
            <v>ОСП0011748</v>
          </cell>
          <cell r="F685">
            <v>46450605023</v>
          </cell>
          <cell r="G685" t="str">
            <v>62324600300_01</v>
          </cell>
          <cell r="H685" t="str">
            <v>AY Рама лебедки TW63, отводной блок 450 мм (короткая)</v>
          </cell>
          <cell r="I685" t="str">
            <v>AY Traction machine TW63 frame, rope pulley 450 mm (short)</v>
          </cell>
          <cell r="J685" t="str">
            <v>компл</v>
          </cell>
          <cell r="K685">
            <v>1</v>
          </cell>
          <cell r="L685" t="str">
            <v>Assembly</v>
          </cell>
          <cell r="M685" t="str">
            <v>Order</v>
          </cell>
          <cell r="N685" t="str">
            <v>Russia</v>
          </cell>
          <cell r="O685" t="str">
            <v>Эталон</v>
          </cell>
          <cell r="P685" t="str">
            <v>2 weeks</v>
          </cell>
          <cell r="Q685">
            <v>43007</v>
          </cell>
          <cell r="R685"/>
        </row>
        <row r="686">
          <cell r="B686">
            <v>680</v>
          </cell>
          <cell r="C686">
            <v>1</v>
          </cell>
          <cell r="D686" t="str">
            <v>Traction machine</v>
          </cell>
          <cell r="E686" t="str">
            <v>ОСП0011749</v>
          </cell>
          <cell r="F686"/>
          <cell r="G686"/>
          <cell r="H686" t="str">
            <v>Рама лебедки TW63, отводной блок 450 мм (короткая)</v>
          </cell>
          <cell r="I686" t="str">
            <v>Traction machine TW63 frame, rope pulley 450 mm (short)</v>
          </cell>
          <cell r="J686" t="str">
            <v>шт</v>
          </cell>
          <cell r="K686"/>
          <cell r="L686"/>
          <cell r="M686" t="str">
            <v>Order</v>
          </cell>
          <cell r="N686" t="str">
            <v>Russia</v>
          </cell>
          <cell r="O686" t="str">
            <v>Эталон</v>
          </cell>
          <cell r="P686" t="str">
            <v>2 weeks</v>
          </cell>
          <cell r="Q686">
            <v>43007</v>
          </cell>
          <cell r="R686"/>
        </row>
        <row r="687">
          <cell r="B687">
            <v>681</v>
          </cell>
          <cell r="C687">
            <v>1</v>
          </cell>
          <cell r="D687" t="str">
            <v>Rope</v>
          </cell>
          <cell r="E687" t="str">
            <v>ОСП0011740</v>
          </cell>
          <cell r="F687">
            <v>46451514020</v>
          </cell>
          <cell r="G687"/>
          <cell r="H687" t="str">
            <v>AY Канат 8 мм Северсталь DIN3062 8х19S+7x7, 1570, 33,9 kN</v>
          </cell>
          <cell r="I687" t="str">
            <v>AY Rope 8 mm SEVERSTAL DIN3062 8х19S+7x7, 1570, 33,9 kN</v>
          </cell>
          <cell r="J687" t="str">
            <v>компл</v>
          </cell>
          <cell r="K687">
            <v>10</v>
          </cell>
          <cell r="L687" t="str">
            <v>Assembly</v>
          </cell>
          <cell r="M687" t="str">
            <v>Order</v>
          </cell>
          <cell r="N687" t="str">
            <v>Russia</v>
          </cell>
          <cell r="O687" t="str">
            <v>Северсталь-Метиз</v>
          </cell>
          <cell r="P687" t="str">
            <v>12 weeks</v>
          </cell>
          <cell r="Q687">
            <v>43010</v>
          </cell>
          <cell r="R687" t="str">
            <v>Канат ОС</v>
          </cell>
        </row>
        <row r="688">
          <cell r="B688">
            <v>682</v>
          </cell>
          <cell r="C688">
            <v>1</v>
          </cell>
          <cell r="D688" t="str">
            <v>Rope</v>
          </cell>
          <cell r="E688" t="str">
            <v>ОСП0011741</v>
          </cell>
          <cell r="F688">
            <v>46451514021</v>
          </cell>
          <cell r="G688"/>
          <cell r="H688" t="str">
            <v>Канат 8 мм Северсталь DIN3062 8х19S+7x7, 1570, 33,9 kN</v>
          </cell>
          <cell r="I688" t="str">
            <v>Rope 8 mm SEVERSTAL DIN3062 8х19S+7x7, 1570, 33,9 kN</v>
          </cell>
          <cell r="J688" t="str">
            <v>м</v>
          </cell>
          <cell r="K688"/>
          <cell r="L688"/>
          <cell r="M688" t="str">
            <v>Order</v>
          </cell>
          <cell r="N688" t="str">
            <v>Russia</v>
          </cell>
          <cell r="O688" t="str">
            <v>Северсталь-Метиз</v>
          </cell>
          <cell r="P688" t="str">
            <v>12 weeks</v>
          </cell>
          <cell r="Q688">
            <v>43010</v>
          </cell>
          <cell r="R688"/>
        </row>
        <row r="689">
          <cell r="B689">
            <v>683</v>
          </cell>
          <cell r="C689">
            <v>1</v>
          </cell>
          <cell r="D689" t="str">
            <v>Rope</v>
          </cell>
          <cell r="E689" t="str">
            <v>ОСП0011557</v>
          </cell>
          <cell r="F689">
            <v>46451514010</v>
          </cell>
          <cell r="G689"/>
          <cell r="H689" t="str">
            <v>AY Канат 8 мм Северсталь DIN3062 8х19S, 1570, 29,4 kN, заделка с одного конца</v>
          </cell>
          <cell r="I689" t="str">
            <v>AY Rope 8 mm SEVERSTAL DIN3062 8х19S, 1570, 29,4 kN</v>
          </cell>
          <cell r="J689" t="str">
            <v>компл</v>
          </cell>
          <cell r="K689">
            <v>10</v>
          </cell>
          <cell r="L689" t="str">
            <v>Assembly</v>
          </cell>
          <cell r="M689" t="str">
            <v>Order</v>
          </cell>
          <cell r="N689" t="str">
            <v>Russia</v>
          </cell>
          <cell r="O689" t="str">
            <v>Северсталь-Метиз</v>
          </cell>
          <cell r="P689" t="str">
            <v>12 weeks</v>
          </cell>
          <cell r="Q689">
            <v>43010</v>
          </cell>
          <cell r="R689" t="str">
            <v>Тяговый канат</v>
          </cell>
        </row>
        <row r="690">
          <cell r="B690">
            <v>684</v>
          </cell>
          <cell r="C690">
            <v>1</v>
          </cell>
          <cell r="D690" t="str">
            <v>Rope</v>
          </cell>
          <cell r="E690" t="str">
            <v>ОСП0011490</v>
          </cell>
          <cell r="F690">
            <v>46451514011</v>
          </cell>
          <cell r="G690"/>
          <cell r="H690" t="str">
            <v>Канат 8 мм Северсталь DIN3062 8х19S, 1570, 29,4 kN</v>
          </cell>
          <cell r="I690" t="str">
            <v>Rope 8 mm SEVERSTAL DIN3062 8х19S, 1570, 29,4 kN</v>
          </cell>
          <cell r="J690" t="str">
            <v>м</v>
          </cell>
          <cell r="K690"/>
          <cell r="L690"/>
          <cell r="M690" t="str">
            <v>Order</v>
          </cell>
          <cell r="N690" t="str">
            <v>Russia</v>
          </cell>
          <cell r="O690" t="str">
            <v>Северсталь-Метиз</v>
          </cell>
          <cell r="P690" t="str">
            <v>12 weeks</v>
          </cell>
          <cell r="Q690">
            <v>43010</v>
          </cell>
          <cell r="R690"/>
        </row>
        <row r="691">
          <cell r="B691">
            <v>685</v>
          </cell>
          <cell r="C691">
            <v>1</v>
          </cell>
          <cell r="D691" t="str">
            <v>Fixation</v>
          </cell>
          <cell r="E691" t="str">
            <v>ОСП0011692</v>
          </cell>
          <cell r="F691">
            <v>46456606052</v>
          </cell>
          <cell r="G691" t="str">
            <v>5172710</v>
          </cell>
          <cell r="H691" t="str">
            <v>Зажим крепления направляющих A17</v>
          </cell>
          <cell r="I691" t="str">
            <v>Guide rail clamp plate A17 (T125), zinced</v>
          </cell>
          <cell r="J691" t="str">
            <v>шт</v>
          </cell>
          <cell r="K691">
            <v>11</v>
          </cell>
          <cell r="L691"/>
          <cell r="M691" t="str">
            <v>Order</v>
          </cell>
          <cell r="N691" t="str">
            <v>Germany</v>
          </cell>
          <cell r="O691" t="str">
            <v>tkAW</v>
          </cell>
          <cell r="P691" t="str">
            <v>6-8 weeks</v>
          </cell>
          <cell r="Q691">
            <v>43010</v>
          </cell>
          <cell r="R691"/>
        </row>
        <row r="692">
          <cell r="B692">
            <v>686</v>
          </cell>
          <cell r="C692">
            <v>1</v>
          </cell>
          <cell r="D692" t="str">
            <v>Bracket</v>
          </cell>
          <cell r="E692" t="str">
            <v>ОСП0011680</v>
          </cell>
          <cell r="F692">
            <v>46456606046</v>
          </cell>
          <cell r="G692" t="str">
            <v>60114600300_00</v>
          </cell>
          <cell r="H692" t="str">
            <v>AY Кронштейн направляющей T89 / T50 (соосный), 243-303 мм</v>
          </cell>
          <cell r="I692" t="str">
            <v>AY GR bracket T89 / T50 (coaxial), 243-303 mm</v>
          </cell>
          <cell r="J692" t="str">
            <v>компл</v>
          </cell>
          <cell r="K692">
            <v>3</v>
          </cell>
          <cell r="L692" t="str">
            <v>Assembly</v>
          </cell>
          <cell r="M692" t="str">
            <v>Order</v>
          </cell>
          <cell r="N692" t="str">
            <v>Russia</v>
          </cell>
          <cell r="O692" t="str">
            <v>Эталон</v>
          </cell>
          <cell r="P692" t="str">
            <v>4 weeks</v>
          </cell>
          <cell r="Q692">
            <v>43010</v>
          </cell>
          <cell r="R692"/>
        </row>
        <row r="693">
          <cell r="B693">
            <v>687</v>
          </cell>
          <cell r="C693">
            <v>1</v>
          </cell>
          <cell r="D693" t="str">
            <v>Bracket</v>
          </cell>
          <cell r="E693" t="str">
            <v>ОСП0011686</v>
          </cell>
          <cell r="F693"/>
          <cell r="G693"/>
          <cell r="H693" t="str">
            <v>Кронштейн направляющей T89 / T50 (соосный), 243-303 мм</v>
          </cell>
          <cell r="I693" t="str">
            <v>GR bracket T89 / T50 (coaxial), 243-303 mm</v>
          </cell>
          <cell r="J693" t="str">
            <v>шт</v>
          </cell>
          <cell r="K693"/>
          <cell r="L693"/>
          <cell r="M693" t="str">
            <v>Order</v>
          </cell>
          <cell r="N693" t="str">
            <v>Russia</v>
          </cell>
          <cell r="O693" t="str">
            <v>Эталон</v>
          </cell>
          <cell r="P693" t="str">
            <v>4 weeks</v>
          </cell>
          <cell r="Q693">
            <v>43010</v>
          </cell>
          <cell r="R693"/>
        </row>
        <row r="694">
          <cell r="B694">
            <v>688</v>
          </cell>
          <cell r="C694">
            <v>1</v>
          </cell>
          <cell r="D694" t="str">
            <v>Bracket</v>
          </cell>
          <cell r="E694" t="str">
            <v>ОСП0011681</v>
          </cell>
          <cell r="F694">
            <v>46456606047</v>
          </cell>
          <cell r="G694" t="str">
            <v>60114600400_00</v>
          </cell>
          <cell r="H694" t="str">
            <v>AY Кронштейн направляющей T125 / T70 (соосный), 337-397 мм</v>
          </cell>
          <cell r="I694" t="str">
            <v>AY GR bracket T125 / T70 (coaxial), 337-397 mm</v>
          </cell>
          <cell r="J694" t="str">
            <v>компл</v>
          </cell>
          <cell r="K694">
            <v>3</v>
          </cell>
          <cell r="L694" t="str">
            <v>Assembly</v>
          </cell>
          <cell r="M694" t="str">
            <v>Order</v>
          </cell>
          <cell r="N694" t="str">
            <v>Russia</v>
          </cell>
          <cell r="O694" t="str">
            <v>Эталон</v>
          </cell>
          <cell r="P694" t="str">
            <v>4 weeks</v>
          </cell>
          <cell r="Q694">
            <v>43010</v>
          </cell>
          <cell r="R694"/>
        </row>
        <row r="695">
          <cell r="B695">
            <v>689</v>
          </cell>
          <cell r="C695">
            <v>1</v>
          </cell>
          <cell r="D695" t="str">
            <v>Bracket</v>
          </cell>
          <cell r="E695" t="str">
            <v>ОСП0011687</v>
          </cell>
          <cell r="F695"/>
          <cell r="G695"/>
          <cell r="H695" t="str">
            <v>Кронштейн направляющей T125 / T70 (соосный), 337-397 мм</v>
          </cell>
          <cell r="I695" t="str">
            <v>GR bracket T125 / T70 (coaxial), 337-397 mm</v>
          </cell>
          <cell r="J695" t="str">
            <v>шт</v>
          </cell>
          <cell r="K695"/>
          <cell r="L695"/>
          <cell r="M695" t="str">
            <v>Order</v>
          </cell>
          <cell r="N695" t="str">
            <v>Russia</v>
          </cell>
          <cell r="O695" t="str">
            <v>Эталон</v>
          </cell>
          <cell r="P695" t="str">
            <v>4 weeks</v>
          </cell>
          <cell r="Q695">
            <v>43010</v>
          </cell>
          <cell r="R695"/>
        </row>
        <row r="696">
          <cell r="B696">
            <v>690</v>
          </cell>
          <cell r="C696">
            <v>1</v>
          </cell>
          <cell r="D696" t="str">
            <v>Bracket</v>
          </cell>
          <cell r="E696" t="str">
            <v>ОСП0011682</v>
          </cell>
          <cell r="F696">
            <v>46456606048</v>
          </cell>
          <cell r="G696" t="str">
            <v>60114600500_00</v>
          </cell>
          <cell r="H696" t="str">
            <v>AY Кронштейн направляющей T125, 345-395 мм</v>
          </cell>
          <cell r="I696" t="str">
            <v>AY GR bracket T125, 345-395 mm</v>
          </cell>
          <cell r="J696" t="str">
            <v>компл</v>
          </cell>
          <cell r="K696">
            <v>3</v>
          </cell>
          <cell r="L696" t="str">
            <v>Assembly</v>
          </cell>
          <cell r="M696" t="str">
            <v>Order</v>
          </cell>
          <cell r="N696" t="str">
            <v>Russia</v>
          </cell>
          <cell r="O696" t="str">
            <v>Эталон</v>
          </cell>
          <cell r="P696" t="str">
            <v>4 weeks</v>
          </cell>
          <cell r="Q696">
            <v>43010</v>
          </cell>
          <cell r="R696"/>
        </row>
        <row r="697">
          <cell r="B697">
            <v>691</v>
          </cell>
          <cell r="C697">
            <v>1</v>
          </cell>
          <cell r="D697" t="str">
            <v>Bracket</v>
          </cell>
          <cell r="E697" t="str">
            <v>ОСП0011688</v>
          </cell>
          <cell r="F697"/>
          <cell r="G697"/>
          <cell r="H697" t="str">
            <v>Кронштейн направляющей T125, 345-395 мм</v>
          </cell>
          <cell r="I697" t="str">
            <v>GR bracket T125, 345-395 mm</v>
          </cell>
          <cell r="J697" t="str">
            <v>шт</v>
          </cell>
          <cell r="K697"/>
          <cell r="L697"/>
          <cell r="M697" t="str">
            <v>Order</v>
          </cell>
          <cell r="N697" t="str">
            <v>Russia</v>
          </cell>
          <cell r="O697" t="str">
            <v>Эталон</v>
          </cell>
          <cell r="P697" t="str">
            <v>4 weeks</v>
          </cell>
          <cell r="Q697">
            <v>43010</v>
          </cell>
          <cell r="R697"/>
        </row>
        <row r="698">
          <cell r="B698">
            <v>692</v>
          </cell>
          <cell r="C698">
            <v>1</v>
          </cell>
          <cell r="D698" t="str">
            <v>Bracket</v>
          </cell>
          <cell r="E698" t="str">
            <v>ОСП0011683</v>
          </cell>
          <cell r="F698">
            <v>46456606049</v>
          </cell>
          <cell r="G698" t="str">
            <v>60114600600_00</v>
          </cell>
          <cell r="H698" t="str">
            <v>AY Кронштейн направляющей T89, T90, 28-78 мм</v>
          </cell>
          <cell r="I698" t="str">
            <v>AY GR bracket T89, T90, 28-78 mm</v>
          </cell>
          <cell r="J698" t="str">
            <v>компл</v>
          </cell>
          <cell r="K698">
            <v>3</v>
          </cell>
          <cell r="L698" t="str">
            <v>Assembly</v>
          </cell>
          <cell r="M698" t="str">
            <v>Order</v>
          </cell>
          <cell r="N698" t="str">
            <v>Russia</v>
          </cell>
          <cell r="O698" t="str">
            <v>Эталон</v>
          </cell>
          <cell r="P698" t="str">
            <v>4 weeks</v>
          </cell>
          <cell r="Q698">
            <v>43010</v>
          </cell>
          <cell r="R698"/>
        </row>
        <row r="699">
          <cell r="B699">
            <v>693</v>
          </cell>
          <cell r="C699">
            <v>1</v>
          </cell>
          <cell r="D699" t="str">
            <v>Bracket</v>
          </cell>
          <cell r="E699" t="str">
            <v>ОСП0011689</v>
          </cell>
          <cell r="F699"/>
          <cell r="G699"/>
          <cell r="H699" t="str">
            <v>Кронштейн направляющей T89, T90, 28-78 мм</v>
          </cell>
          <cell r="I699" t="str">
            <v>GR bracket T89, T90, 28-78 mm</v>
          </cell>
          <cell r="J699" t="str">
            <v>шт</v>
          </cell>
          <cell r="K699"/>
          <cell r="L699"/>
          <cell r="M699" t="str">
            <v>Order</v>
          </cell>
          <cell r="N699" t="str">
            <v>Russia</v>
          </cell>
          <cell r="O699" t="str">
            <v>Эталон</v>
          </cell>
          <cell r="P699" t="str">
            <v>4 weeks</v>
          </cell>
          <cell r="Q699">
            <v>43010</v>
          </cell>
          <cell r="R699"/>
        </row>
        <row r="700">
          <cell r="B700">
            <v>694</v>
          </cell>
          <cell r="C700">
            <v>1</v>
          </cell>
          <cell r="D700" t="str">
            <v>Bracket</v>
          </cell>
          <cell r="E700" t="str">
            <v>ОСП0011693</v>
          </cell>
          <cell r="F700">
            <v>46456606053</v>
          </cell>
          <cell r="G700" t="str">
            <v>60114600600_00</v>
          </cell>
          <cell r="H700" t="str">
            <v>AY Кронштейн направляющей T125, 28-78 мм</v>
          </cell>
          <cell r="I700" t="str">
            <v>AY GR bracket T125, 28-78 mm</v>
          </cell>
          <cell r="J700" t="str">
            <v>компл</v>
          </cell>
          <cell r="K700">
            <v>3</v>
          </cell>
          <cell r="L700" t="str">
            <v>Assembly</v>
          </cell>
          <cell r="M700" t="str">
            <v>Order</v>
          </cell>
          <cell r="N700" t="str">
            <v>Russia</v>
          </cell>
          <cell r="O700" t="str">
            <v>Эталон</v>
          </cell>
          <cell r="P700" t="str">
            <v>4 weeks</v>
          </cell>
          <cell r="Q700">
            <v>43010</v>
          </cell>
          <cell r="R700"/>
        </row>
        <row r="701">
          <cell r="B701">
            <v>695</v>
          </cell>
          <cell r="C701">
            <v>1</v>
          </cell>
          <cell r="D701" t="str">
            <v>Bracket</v>
          </cell>
          <cell r="E701" t="str">
            <v>ОСП0011694</v>
          </cell>
          <cell r="F701"/>
          <cell r="G701"/>
          <cell r="H701" t="str">
            <v>Кронштейн направляющей T125, 28-78 мм</v>
          </cell>
          <cell r="I701" t="str">
            <v>GR bracket T125, 28-78 mm</v>
          </cell>
          <cell r="J701" t="str">
            <v>шт</v>
          </cell>
          <cell r="K701"/>
          <cell r="L701"/>
          <cell r="M701" t="str">
            <v>Order</v>
          </cell>
          <cell r="N701" t="str">
            <v>Russia</v>
          </cell>
          <cell r="O701" t="str">
            <v>Эталон</v>
          </cell>
          <cell r="P701" t="str">
            <v>4 weeks</v>
          </cell>
          <cell r="Q701">
            <v>43010</v>
          </cell>
          <cell r="R701"/>
        </row>
        <row r="702">
          <cell r="B702">
            <v>696</v>
          </cell>
          <cell r="C702">
            <v>1</v>
          </cell>
          <cell r="D702" t="str">
            <v>Bracket</v>
          </cell>
          <cell r="E702" t="str">
            <v>ОСП0011684</v>
          </cell>
          <cell r="F702">
            <v>46456606054</v>
          </cell>
          <cell r="G702" t="str">
            <v>60114601100_02</v>
          </cell>
          <cell r="H702" t="str">
            <v>AY Кронштейн направляющей T89, T90 / T50 (соосный, параметрич.)</v>
          </cell>
          <cell r="I702" t="str">
            <v>AY GR bracket T89, T90 / T50 (coaxial, parametric)</v>
          </cell>
          <cell r="J702" t="str">
            <v>компл</v>
          </cell>
          <cell r="K702">
            <v>3</v>
          </cell>
          <cell r="L702" t="str">
            <v>Assembly</v>
          </cell>
          <cell r="M702" t="str">
            <v>Order</v>
          </cell>
          <cell r="N702" t="str">
            <v>Russia</v>
          </cell>
          <cell r="O702" t="str">
            <v>Эталон</v>
          </cell>
          <cell r="P702" t="str">
            <v>4 weeks</v>
          </cell>
          <cell r="Q702">
            <v>43010</v>
          </cell>
          <cell r="R702"/>
        </row>
        <row r="703">
          <cell r="B703">
            <v>697</v>
          </cell>
          <cell r="C703">
            <v>1</v>
          </cell>
          <cell r="D703" t="str">
            <v>Bracket</v>
          </cell>
          <cell r="E703" t="str">
            <v>ОСП0011690</v>
          </cell>
          <cell r="F703"/>
          <cell r="G703"/>
          <cell r="H703" t="str">
            <v>Кронштейн направляющей T89, T90 / T50 (соосный, параметрич.)</v>
          </cell>
          <cell r="I703" t="str">
            <v>GR bracket T89, T90 / T50 (coaxial, parametric)</v>
          </cell>
          <cell r="J703" t="str">
            <v>шт</v>
          </cell>
          <cell r="K703"/>
          <cell r="L703"/>
          <cell r="M703" t="str">
            <v>Order</v>
          </cell>
          <cell r="N703" t="str">
            <v>Russia</v>
          </cell>
          <cell r="O703" t="str">
            <v>Эталон</v>
          </cell>
          <cell r="P703" t="str">
            <v>4 weeks</v>
          </cell>
          <cell r="Q703">
            <v>43010</v>
          </cell>
          <cell r="R703"/>
        </row>
        <row r="704">
          <cell r="B704">
            <v>698</v>
          </cell>
          <cell r="C704">
            <v>1</v>
          </cell>
          <cell r="D704" t="str">
            <v>Bracket</v>
          </cell>
          <cell r="E704" t="str">
            <v>ОСП0011695</v>
          </cell>
          <cell r="F704">
            <v>46456606055</v>
          </cell>
          <cell r="G704" t="str">
            <v>60114601100_02</v>
          </cell>
          <cell r="H704" t="str">
            <v>AY Кронштейн направляющей T125 / T50 (соосный, параметрич.)</v>
          </cell>
          <cell r="I704" t="str">
            <v>AY GR bracket T125 / T50 (coaxial, parametric)</v>
          </cell>
          <cell r="J704" t="str">
            <v>компл</v>
          </cell>
          <cell r="K704">
            <v>3</v>
          </cell>
          <cell r="L704" t="str">
            <v>Assembly</v>
          </cell>
          <cell r="M704" t="str">
            <v>Order</v>
          </cell>
          <cell r="N704" t="str">
            <v>Russia</v>
          </cell>
          <cell r="O704" t="str">
            <v>Эталон</v>
          </cell>
          <cell r="P704" t="str">
            <v>4 weeks</v>
          </cell>
          <cell r="Q704">
            <v>43010</v>
          </cell>
          <cell r="R704"/>
        </row>
        <row r="705">
          <cell r="B705">
            <v>699</v>
          </cell>
          <cell r="C705">
            <v>1</v>
          </cell>
          <cell r="D705" t="str">
            <v>Bracket</v>
          </cell>
          <cell r="E705" t="str">
            <v>ОСП0011698</v>
          </cell>
          <cell r="F705"/>
          <cell r="G705"/>
          <cell r="H705" t="str">
            <v>Кронштейн направляющей T125 / T50 (соосный, параметрич.)</v>
          </cell>
          <cell r="I705" t="str">
            <v>GR bracket T125 / T50 (coaxial, parametric)</v>
          </cell>
          <cell r="J705" t="str">
            <v>шт</v>
          </cell>
          <cell r="K705"/>
          <cell r="L705"/>
          <cell r="M705" t="str">
            <v>Order</v>
          </cell>
          <cell r="N705" t="str">
            <v>Russia</v>
          </cell>
          <cell r="O705" t="str">
            <v>Эталон</v>
          </cell>
          <cell r="P705" t="str">
            <v>4 weeks</v>
          </cell>
          <cell r="Q705">
            <v>43010</v>
          </cell>
          <cell r="R705"/>
        </row>
        <row r="706">
          <cell r="B706">
            <v>700</v>
          </cell>
          <cell r="C706">
            <v>1</v>
          </cell>
          <cell r="D706" t="str">
            <v>Bracket</v>
          </cell>
          <cell r="E706" t="str">
            <v>ОСП0011696</v>
          </cell>
          <cell r="F706">
            <v>46456606056</v>
          </cell>
          <cell r="G706" t="str">
            <v>60114601100_02</v>
          </cell>
          <cell r="H706" t="str">
            <v>AY Кронштейн направляющей T89, T90 / T70 (соосный, параметрич.)</v>
          </cell>
          <cell r="I706" t="str">
            <v>AY GR bracket T89, T90 / T70 (coaxial, parametric)</v>
          </cell>
          <cell r="J706" t="str">
            <v>компл</v>
          </cell>
          <cell r="K706">
            <v>3</v>
          </cell>
          <cell r="L706" t="str">
            <v>Assembly</v>
          </cell>
          <cell r="M706" t="str">
            <v>Order</v>
          </cell>
          <cell r="N706" t="str">
            <v>Russia</v>
          </cell>
          <cell r="O706" t="str">
            <v>Эталон</v>
          </cell>
          <cell r="P706" t="str">
            <v>4 weeks</v>
          </cell>
          <cell r="Q706">
            <v>43010</v>
          </cell>
          <cell r="R706"/>
        </row>
        <row r="707">
          <cell r="B707">
            <v>701</v>
          </cell>
          <cell r="C707">
            <v>1</v>
          </cell>
          <cell r="D707" t="str">
            <v>Bracket</v>
          </cell>
          <cell r="E707" t="str">
            <v>ОСП0011699</v>
          </cell>
          <cell r="F707"/>
          <cell r="G707"/>
          <cell r="H707" t="str">
            <v>Кронштейн направляющей T89, T90 / T70 (соосный, параметрич.)</v>
          </cell>
          <cell r="I707" t="str">
            <v>GR bracket T89, T90 / T70 (coaxial, parametric)</v>
          </cell>
          <cell r="J707" t="str">
            <v>шт</v>
          </cell>
          <cell r="K707"/>
          <cell r="L707"/>
          <cell r="M707" t="str">
            <v>Order</v>
          </cell>
          <cell r="N707" t="str">
            <v>Russia</v>
          </cell>
          <cell r="O707" t="str">
            <v>Эталон</v>
          </cell>
          <cell r="P707" t="str">
            <v>4 weeks</v>
          </cell>
          <cell r="Q707">
            <v>43010</v>
          </cell>
          <cell r="R707"/>
        </row>
        <row r="708">
          <cell r="B708">
            <v>702</v>
          </cell>
          <cell r="C708">
            <v>1</v>
          </cell>
          <cell r="D708" t="str">
            <v>Bracket</v>
          </cell>
          <cell r="E708" t="str">
            <v>ОСП0011697</v>
          </cell>
          <cell r="F708">
            <v>46456606057</v>
          </cell>
          <cell r="G708" t="str">
            <v>60114601100_02</v>
          </cell>
          <cell r="H708" t="str">
            <v>AY Кронштейн направляющей T125 / T70 (соосный, параметрич.)</v>
          </cell>
          <cell r="I708" t="str">
            <v>AY GR bracket T125 / T70 (coaxial, parametric)</v>
          </cell>
          <cell r="J708" t="str">
            <v>компл</v>
          </cell>
          <cell r="K708">
            <v>3</v>
          </cell>
          <cell r="L708" t="str">
            <v>Assembly</v>
          </cell>
          <cell r="M708" t="str">
            <v>Order</v>
          </cell>
          <cell r="N708" t="str">
            <v>Russia</v>
          </cell>
          <cell r="O708" t="str">
            <v>Эталон</v>
          </cell>
          <cell r="P708" t="str">
            <v>4 weeks</v>
          </cell>
          <cell r="Q708">
            <v>43010</v>
          </cell>
          <cell r="R708"/>
        </row>
        <row r="709">
          <cell r="B709">
            <v>703</v>
          </cell>
          <cell r="C709">
            <v>1</v>
          </cell>
          <cell r="D709" t="str">
            <v>Bracket</v>
          </cell>
          <cell r="E709" t="str">
            <v>ОСП0011700</v>
          </cell>
          <cell r="F709"/>
          <cell r="G709"/>
          <cell r="H709" t="str">
            <v>Кронштейн направляющей T125 / T70 (соосный, параметрич.)</v>
          </cell>
          <cell r="I709" t="str">
            <v>GR bracket T125 / T70 (coaxial, parametric)</v>
          </cell>
          <cell r="J709" t="str">
            <v>шт</v>
          </cell>
          <cell r="K709"/>
          <cell r="L709"/>
          <cell r="M709" t="str">
            <v>Order</v>
          </cell>
          <cell r="N709" t="str">
            <v>Russia</v>
          </cell>
          <cell r="O709" t="str">
            <v>Эталон</v>
          </cell>
          <cell r="P709" t="str">
            <v>4 weeks</v>
          </cell>
          <cell r="Q709">
            <v>43010</v>
          </cell>
          <cell r="R709"/>
        </row>
        <row r="710">
          <cell r="B710">
            <v>704</v>
          </cell>
          <cell r="C710">
            <v>1</v>
          </cell>
          <cell r="D710" t="str">
            <v>Fixation</v>
          </cell>
          <cell r="E710" t="str">
            <v>ОСП0007224</v>
          </cell>
          <cell r="F710">
            <v>40451523038</v>
          </cell>
          <cell r="G710"/>
          <cell r="H710" t="str">
            <v>Гайка шестигранная M12 DIN 934, к.п. 8, оцинкованная</v>
          </cell>
          <cell r="I710" t="str">
            <v>Hexagon nut M12 DIN 934, 8, zinced</v>
          </cell>
          <cell r="J710" t="str">
            <v>шт</v>
          </cell>
          <cell r="K710">
            <v>4</v>
          </cell>
          <cell r="L710"/>
          <cell r="M710" t="str">
            <v>Stock</v>
          </cell>
          <cell r="N710" t="str">
            <v>Russia</v>
          </cell>
          <cell r="O710"/>
          <cell r="P710" t="str">
            <v>2-4 weeks</v>
          </cell>
          <cell r="Q710">
            <v>43010</v>
          </cell>
          <cell r="R710"/>
        </row>
        <row r="711">
          <cell r="B711">
            <v>705</v>
          </cell>
          <cell r="C711">
            <v>1</v>
          </cell>
          <cell r="D711" t="str">
            <v>Fixation</v>
          </cell>
          <cell r="E711" t="str">
            <v>ОСП0007224</v>
          </cell>
          <cell r="F711">
            <v>40451523038</v>
          </cell>
          <cell r="G711"/>
          <cell r="H711" t="str">
            <v>Гайка шестигранная M12 DIN 934, к.п. 8, оцинкованная</v>
          </cell>
          <cell r="I711" t="str">
            <v>Hexagon nut M12 DIN 934, 8, zinced</v>
          </cell>
          <cell r="J711" t="str">
            <v>шт</v>
          </cell>
          <cell r="K711">
            <v>14</v>
          </cell>
          <cell r="L711"/>
          <cell r="M711" t="str">
            <v>Stock</v>
          </cell>
          <cell r="N711" t="str">
            <v>Russia</v>
          </cell>
          <cell r="O711"/>
          <cell r="P711" t="str">
            <v>2-4 weeks</v>
          </cell>
          <cell r="Q711">
            <v>43010</v>
          </cell>
          <cell r="R711"/>
        </row>
        <row r="712">
          <cell r="B712">
            <v>706</v>
          </cell>
          <cell r="C712">
            <v>1</v>
          </cell>
          <cell r="D712" t="str">
            <v>Fixation</v>
          </cell>
          <cell r="E712" t="str">
            <v>ОСП0011669</v>
          </cell>
          <cell r="F712">
            <v>46452404033</v>
          </cell>
          <cell r="G712"/>
          <cell r="H712" t="str">
            <v>Шпилька резьбовая DIN976 M12*1000 8.8 Ц</v>
          </cell>
          <cell r="I712" t="str">
            <v>Threaded stud DIN976 M12*1000 8.8, Zn</v>
          </cell>
          <cell r="J712" t="str">
            <v>шт</v>
          </cell>
          <cell r="K712">
            <v>4</v>
          </cell>
          <cell r="L712"/>
          <cell r="M712" t="str">
            <v>Order</v>
          </cell>
          <cell r="N712" t="str">
            <v>Russia</v>
          </cell>
          <cell r="O712"/>
          <cell r="P712" t="str">
            <v>2 weeks</v>
          </cell>
          <cell r="Q712">
            <v>43010</v>
          </cell>
          <cell r="R712"/>
        </row>
        <row r="713">
          <cell r="B713">
            <v>707</v>
          </cell>
          <cell r="C713">
            <v>1</v>
          </cell>
          <cell r="D713" t="str">
            <v>Fixation</v>
          </cell>
          <cell r="E713" t="str">
            <v>ОСП0011669</v>
          </cell>
          <cell r="F713">
            <v>46452404033</v>
          </cell>
          <cell r="G713"/>
          <cell r="H713" t="str">
            <v>Шпилька резьбовая DIN976 M12*1000 8.8 Ц</v>
          </cell>
          <cell r="I713" t="str">
            <v>Threaded stud DIN976 M12*1000 8.8, Zn</v>
          </cell>
          <cell r="J713" t="str">
            <v>шт</v>
          </cell>
          <cell r="K713">
            <v>14</v>
          </cell>
          <cell r="L713"/>
          <cell r="M713" t="str">
            <v>Order</v>
          </cell>
          <cell r="N713" t="str">
            <v>Russia</v>
          </cell>
          <cell r="O713"/>
          <cell r="P713" t="str">
            <v>2 weeks</v>
          </cell>
          <cell r="Q713">
            <v>43010</v>
          </cell>
          <cell r="R713"/>
        </row>
        <row r="714">
          <cell r="B714">
            <v>708</v>
          </cell>
          <cell r="C714">
            <v>1</v>
          </cell>
          <cell r="D714" t="str">
            <v>Fixation</v>
          </cell>
          <cell r="E714" t="str">
            <v>ОСП0011664</v>
          </cell>
          <cell r="F714">
            <v>46452404036</v>
          </cell>
          <cell r="G714"/>
          <cell r="H714" t="str">
            <v>Картридж BIT-NORD 400 мл (для низких температур)</v>
          </cell>
          <cell r="I714" t="str">
            <v>Cartridge BIT-NORD 400 ml (for low temperatures)</v>
          </cell>
          <cell r="J714" t="str">
            <v>шт</v>
          </cell>
          <cell r="K714">
            <v>4</v>
          </cell>
          <cell r="L714"/>
          <cell r="M714" t="str">
            <v>Order</v>
          </cell>
          <cell r="N714" t="str">
            <v>Russia</v>
          </cell>
          <cell r="O714"/>
          <cell r="P714" t="str">
            <v>2 weeks</v>
          </cell>
          <cell r="Q714">
            <v>43010</v>
          </cell>
          <cell r="R714"/>
        </row>
        <row r="715">
          <cell r="B715">
            <v>709</v>
          </cell>
          <cell r="C715">
            <v>1</v>
          </cell>
          <cell r="D715" t="str">
            <v>Fixation</v>
          </cell>
          <cell r="E715" t="str">
            <v>ОСП0011664</v>
          </cell>
          <cell r="F715">
            <v>46452404036</v>
          </cell>
          <cell r="G715"/>
          <cell r="H715" t="str">
            <v>Картридж BIT-NORD 400 мл (для низких температур)</v>
          </cell>
          <cell r="I715" t="str">
            <v>Cartridge BIT-NORD 400 ml (for low temperatures)</v>
          </cell>
          <cell r="J715" t="str">
            <v>шт</v>
          </cell>
          <cell r="K715">
            <v>14</v>
          </cell>
          <cell r="L715"/>
          <cell r="M715" t="str">
            <v>Order</v>
          </cell>
          <cell r="N715" t="str">
            <v>Russia</v>
          </cell>
          <cell r="O715"/>
          <cell r="P715" t="str">
            <v>2 weeks</v>
          </cell>
          <cell r="Q715">
            <v>43010</v>
          </cell>
          <cell r="R715"/>
        </row>
        <row r="716">
          <cell r="B716">
            <v>710</v>
          </cell>
          <cell r="C716">
            <v>1</v>
          </cell>
          <cell r="D716" t="str">
            <v>Fixation</v>
          </cell>
          <cell r="E716" t="str">
            <v>ОСП0001728</v>
          </cell>
          <cell r="F716">
            <v>46452404037</v>
          </cell>
          <cell r="G716" t="str">
            <v>49764</v>
          </cell>
          <cell r="H716" t="str">
            <v>Гильза сетчатая HIT-S 22X1M, Hilti</v>
          </cell>
          <cell r="I716" t="str">
            <v>Mesh sleeve HIT-S 22X1M, Hilti</v>
          </cell>
          <cell r="J716" t="str">
            <v>шт</v>
          </cell>
          <cell r="K716">
            <v>4</v>
          </cell>
          <cell r="L716"/>
          <cell r="M716" t="str">
            <v>Order</v>
          </cell>
          <cell r="N716" t="str">
            <v>Russia</v>
          </cell>
          <cell r="O716"/>
          <cell r="P716" t="str">
            <v>2 weeks</v>
          </cell>
          <cell r="Q716">
            <v>43010</v>
          </cell>
          <cell r="R716"/>
        </row>
        <row r="717">
          <cell r="B717">
            <v>711</v>
          </cell>
          <cell r="C717">
            <v>1</v>
          </cell>
          <cell r="D717" t="str">
            <v>Fixation</v>
          </cell>
          <cell r="E717" t="str">
            <v>ОСП0001728</v>
          </cell>
          <cell r="F717">
            <v>46452404037</v>
          </cell>
          <cell r="G717" t="str">
            <v>49764</v>
          </cell>
          <cell r="H717" t="str">
            <v>Гильза сетчатая HIT-S 22X1M, Hilti</v>
          </cell>
          <cell r="I717" t="str">
            <v>Mesh sleeve HIT-S 22X1M, Hilti</v>
          </cell>
          <cell r="J717" t="str">
            <v>шт</v>
          </cell>
          <cell r="K717">
            <v>14</v>
          </cell>
          <cell r="L717"/>
          <cell r="M717" t="str">
            <v>Order</v>
          </cell>
          <cell r="N717" t="str">
            <v>Russia</v>
          </cell>
          <cell r="O717"/>
          <cell r="P717" t="str">
            <v>2 weeks</v>
          </cell>
          <cell r="Q717">
            <v>43010</v>
          </cell>
          <cell r="R717"/>
        </row>
        <row r="718">
          <cell r="B718">
            <v>712</v>
          </cell>
          <cell r="C718">
            <v>1</v>
          </cell>
          <cell r="D718" t="str">
            <v>Guide rail</v>
          </cell>
          <cell r="E718" t="str">
            <v>ОСП0009446</v>
          </cell>
          <cell r="F718">
            <v>46451508060</v>
          </cell>
          <cell r="G718"/>
          <cell r="H718" t="str">
            <v>Направляющая T125/B, 5 м</v>
          </cell>
          <cell r="I718" t="str">
            <v>Guide rail, Omutninsk, T125/B, 5,0 m</v>
          </cell>
          <cell r="J718" t="str">
            <v>шт</v>
          </cell>
          <cell r="K718">
            <v>5</v>
          </cell>
          <cell r="L718"/>
          <cell r="M718" t="str">
            <v>Order</v>
          </cell>
          <cell r="N718" t="str">
            <v>Russia</v>
          </cell>
          <cell r="O718" t="str">
            <v>ОМЗ</v>
          </cell>
          <cell r="P718" t="str">
            <v>4-6 weeks</v>
          </cell>
          <cell r="Q718">
            <v>43025</v>
          </cell>
          <cell r="R718"/>
        </row>
        <row r="719">
          <cell r="B719">
            <v>713</v>
          </cell>
          <cell r="C719">
            <v>1</v>
          </cell>
          <cell r="D719" t="str">
            <v>Guide rail</v>
          </cell>
          <cell r="E719" t="str">
            <v>ОСП0009439</v>
          </cell>
          <cell r="F719">
            <v>46451508061</v>
          </cell>
          <cell r="G719"/>
          <cell r="H719" t="str">
            <v>Направляющая лифта Т125/В длина 2,5 м</v>
          </cell>
          <cell r="I719" t="str">
            <v>Guide rail, Omutninsk, T125/B, 2,5 m</v>
          </cell>
          <cell r="J719" t="str">
            <v>шт</v>
          </cell>
          <cell r="K719">
            <v>5</v>
          </cell>
          <cell r="L719"/>
          <cell r="M719" t="str">
            <v>Order</v>
          </cell>
          <cell r="N719" t="str">
            <v>Russia</v>
          </cell>
          <cell r="O719" t="str">
            <v>ОМЗ</v>
          </cell>
          <cell r="P719" t="str">
            <v>4-6 weeks</v>
          </cell>
          <cell r="Q719">
            <v>43025</v>
          </cell>
          <cell r="R719"/>
        </row>
        <row r="720">
          <cell r="B720">
            <v>714</v>
          </cell>
          <cell r="C720">
            <v>1</v>
          </cell>
          <cell r="D720" t="str">
            <v>Guide rail</v>
          </cell>
          <cell r="E720" t="str">
            <v>ОСП0009403</v>
          </cell>
          <cell r="F720">
            <v>46451508051</v>
          </cell>
          <cell r="G720"/>
          <cell r="H720" t="str">
            <v>Направляющая T89/B, 5 м</v>
          </cell>
          <cell r="I720" t="str">
            <v>Guide rail, Omutninsk, T89/B, 5,0 m</v>
          </cell>
          <cell r="J720" t="str">
            <v>шт</v>
          </cell>
          <cell r="K720">
            <v>5</v>
          </cell>
          <cell r="L720"/>
          <cell r="M720" t="str">
            <v>Order</v>
          </cell>
          <cell r="N720" t="str">
            <v>Russia</v>
          </cell>
          <cell r="O720" t="str">
            <v>ОМЗ</v>
          </cell>
          <cell r="P720" t="str">
            <v>4-6 weeks</v>
          </cell>
          <cell r="Q720">
            <v>43025</v>
          </cell>
          <cell r="R720"/>
        </row>
        <row r="721">
          <cell r="B721">
            <v>715</v>
          </cell>
          <cell r="C721">
            <v>1</v>
          </cell>
          <cell r="D721" t="str">
            <v>Guide rail</v>
          </cell>
          <cell r="E721" t="str">
            <v>ОСП0011641</v>
          </cell>
          <cell r="F721">
            <v>46451508052</v>
          </cell>
          <cell r="G721"/>
          <cell r="H721" t="str">
            <v>Направляющая лифта T89/B, 2,5 м</v>
          </cell>
          <cell r="I721" t="str">
            <v>Guide rail, Omutninsk, T89/B, 2,5 m</v>
          </cell>
          <cell r="J721" t="str">
            <v>шт</v>
          </cell>
          <cell r="K721">
            <v>5</v>
          </cell>
          <cell r="L721"/>
          <cell r="M721" t="str">
            <v>Order</v>
          </cell>
          <cell r="N721" t="str">
            <v>Russia</v>
          </cell>
          <cell r="O721" t="str">
            <v>ОМЗ</v>
          </cell>
          <cell r="P721" t="str">
            <v>4-6 weeks</v>
          </cell>
          <cell r="Q721">
            <v>43025</v>
          </cell>
          <cell r="R721"/>
        </row>
        <row r="722">
          <cell r="B722">
            <v>716</v>
          </cell>
          <cell r="C722">
            <v>1</v>
          </cell>
          <cell r="D722" t="str">
            <v>Guide rail</v>
          </cell>
          <cell r="E722" t="str">
            <v>ОСП0007891</v>
          </cell>
          <cell r="F722">
            <v>46451508062</v>
          </cell>
          <cell r="G722"/>
          <cell r="H722" t="str">
            <v>Планка стыковая Т125</v>
          </cell>
          <cell r="I722" t="str">
            <v>Fishplate T125/B Omutninsk</v>
          </cell>
          <cell r="J722" t="str">
            <v>шт</v>
          </cell>
          <cell r="K722">
            <v>6</v>
          </cell>
          <cell r="L722"/>
          <cell r="M722" t="str">
            <v>Order</v>
          </cell>
          <cell r="N722" t="str">
            <v>Russia</v>
          </cell>
          <cell r="O722" t="str">
            <v>ОМЗ</v>
          </cell>
          <cell r="P722" t="str">
            <v>4-6 weeks</v>
          </cell>
          <cell r="Q722">
            <v>43025</v>
          </cell>
          <cell r="R722"/>
        </row>
        <row r="723">
          <cell r="B723">
            <v>717</v>
          </cell>
          <cell r="C723">
            <v>1</v>
          </cell>
          <cell r="D723" t="str">
            <v>Guide rail</v>
          </cell>
          <cell r="E723" t="str">
            <v>ОСП0011431</v>
          </cell>
          <cell r="F723">
            <v>46451508053</v>
          </cell>
          <cell r="G723"/>
          <cell r="H723" t="str">
            <v>Планка стыковая T89</v>
          </cell>
          <cell r="I723" t="str">
            <v>Fishplate T89/B Omutninsk</v>
          </cell>
          <cell r="J723" t="str">
            <v>шт</v>
          </cell>
          <cell r="K723">
            <v>6</v>
          </cell>
          <cell r="L723"/>
          <cell r="M723" t="str">
            <v>Order</v>
          </cell>
          <cell r="N723" t="str">
            <v>Russia</v>
          </cell>
          <cell r="O723" t="str">
            <v>ОМЗ</v>
          </cell>
          <cell r="P723" t="str">
            <v>4-6 weeks</v>
          </cell>
          <cell r="Q723">
            <v>43025</v>
          </cell>
          <cell r="R723"/>
        </row>
        <row r="724">
          <cell r="B724">
            <v>718</v>
          </cell>
          <cell r="C724">
            <v>1</v>
          </cell>
          <cell r="D724" t="str">
            <v>Fixation</v>
          </cell>
          <cell r="E724" t="str">
            <v>ОСП0010324</v>
          </cell>
          <cell r="F724">
            <v>40451523069</v>
          </cell>
          <cell r="G724"/>
          <cell r="H724" t="str">
            <v>Гайка стопорная шестигранная, DIN7967,цинк М16</v>
          </cell>
          <cell r="I724" t="str">
            <v>Hexagon selflocking nut M16 DIN7967, 8, zinced</v>
          </cell>
          <cell r="J724" t="str">
            <v>шт</v>
          </cell>
          <cell r="K724">
            <v>6</v>
          </cell>
          <cell r="L724"/>
          <cell r="M724" t="str">
            <v>Stock</v>
          </cell>
          <cell r="N724" t="str">
            <v>Russia</v>
          </cell>
          <cell r="O724"/>
          <cell r="P724" t="str">
            <v>2-4 weeks</v>
          </cell>
          <cell r="Q724">
            <v>43025</v>
          </cell>
          <cell r="R724"/>
        </row>
        <row r="725">
          <cell r="B725">
            <v>719</v>
          </cell>
          <cell r="C725">
            <v>1</v>
          </cell>
          <cell r="D725" t="str">
            <v>Bracket</v>
          </cell>
          <cell r="E725" t="str">
            <v>ОСП0011975</v>
          </cell>
          <cell r="F725">
            <v>46456606058</v>
          </cell>
          <cell r="G725" t="str">
            <v>60114600900_00</v>
          </cell>
          <cell r="H725" t="str">
            <v>AY Кронштейн направляющей T89, T90 (параметрич., EM до 100 мм)</v>
          </cell>
          <cell r="I725" t="str">
            <v>AY GR bracket T89, T90 (parametric, EM till 100 mm)</v>
          </cell>
          <cell r="J725" t="str">
            <v>компл</v>
          </cell>
          <cell r="K725">
            <v>3</v>
          </cell>
          <cell r="L725" t="str">
            <v>Assembly</v>
          </cell>
          <cell r="M725" t="str">
            <v>Order</v>
          </cell>
          <cell r="N725" t="str">
            <v>Russia</v>
          </cell>
          <cell r="O725" t="str">
            <v>Эталон</v>
          </cell>
          <cell r="P725" t="str">
            <v>4 weeks</v>
          </cell>
          <cell r="Q725">
            <v>43067</v>
          </cell>
          <cell r="R725"/>
        </row>
        <row r="726">
          <cell r="B726">
            <v>720</v>
          </cell>
          <cell r="C726">
            <v>1</v>
          </cell>
          <cell r="D726" t="str">
            <v>Bracket</v>
          </cell>
          <cell r="E726" t="str">
            <v>ОСП0011983</v>
          </cell>
          <cell r="F726"/>
          <cell r="G726"/>
          <cell r="H726" t="str">
            <v>Кронштейн направляющей T89, T90 (параметрич., EM до 100 мм)</v>
          </cell>
          <cell r="I726" t="str">
            <v>GR bracket T89, T90 (parametric, EM till 100 mm)</v>
          </cell>
          <cell r="J726" t="str">
            <v>шт</v>
          </cell>
          <cell r="K726"/>
          <cell r="L726"/>
          <cell r="M726" t="str">
            <v>Order</v>
          </cell>
          <cell r="N726" t="str">
            <v>Russia</v>
          </cell>
          <cell r="O726" t="str">
            <v>Эталон</v>
          </cell>
          <cell r="P726" t="str">
            <v>4 weeks</v>
          </cell>
          <cell r="Q726">
            <v>43067</v>
          </cell>
          <cell r="R726"/>
        </row>
        <row r="727">
          <cell r="B727">
            <v>721</v>
          </cell>
          <cell r="C727">
            <v>1</v>
          </cell>
          <cell r="D727" t="str">
            <v>Bracket</v>
          </cell>
          <cell r="E727" t="str">
            <v>ОСП0011985</v>
          </cell>
          <cell r="F727">
            <v>46456606059</v>
          </cell>
          <cell r="G727" t="str">
            <v>60114600900_00</v>
          </cell>
          <cell r="H727" t="str">
            <v>AY Кронштейн направляющей T125 (параметрич., EM до 100 мм)</v>
          </cell>
          <cell r="I727" t="str">
            <v>AY GR bracket T125 (parametric, EM till 100 mm)</v>
          </cell>
          <cell r="J727" t="str">
            <v>компл</v>
          </cell>
          <cell r="K727">
            <v>3</v>
          </cell>
          <cell r="L727" t="str">
            <v>Assembly</v>
          </cell>
          <cell r="M727" t="str">
            <v>Order</v>
          </cell>
          <cell r="N727" t="str">
            <v>Russia</v>
          </cell>
          <cell r="O727" t="str">
            <v>Эталон</v>
          </cell>
          <cell r="P727" t="str">
            <v>4 weeks</v>
          </cell>
          <cell r="Q727">
            <v>43067</v>
          </cell>
          <cell r="R727"/>
        </row>
        <row r="728">
          <cell r="B728">
            <v>722</v>
          </cell>
          <cell r="C728">
            <v>1</v>
          </cell>
          <cell r="D728" t="str">
            <v>Bracket</v>
          </cell>
          <cell r="E728" t="str">
            <v>ОСП0011986</v>
          </cell>
          <cell r="F728"/>
          <cell r="G728"/>
          <cell r="H728" t="str">
            <v>Кронштейн направляющей T125 (параметрич., EM до 100 мм)</v>
          </cell>
          <cell r="I728" t="str">
            <v>GR bracket T125 (parametric, EM till 100 mm)</v>
          </cell>
          <cell r="J728" t="str">
            <v>шт</v>
          </cell>
          <cell r="K728"/>
          <cell r="L728"/>
          <cell r="M728" t="str">
            <v>Order</v>
          </cell>
          <cell r="N728" t="str">
            <v>Russia</v>
          </cell>
          <cell r="O728" t="str">
            <v>Эталон</v>
          </cell>
          <cell r="P728" t="str">
            <v>4 weeks</v>
          </cell>
          <cell r="Q728">
            <v>43067</v>
          </cell>
          <cell r="R728"/>
        </row>
        <row r="729">
          <cell r="B729">
            <v>723</v>
          </cell>
          <cell r="C729">
            <v>1</v>
          </cell>
          <cell r="D729" t="str">
            <v>Bracket</v>
          </cell>
          <cell r="E729" t="str">
            <v>ОСП0012018</v>
          </cell>
          <cell r="F729"/>
          <cell r="G729" t="str">
            <v>6011S002000</v>
          </cell>
          <cell r="H729" t="str">
            <v>Кронштейн направляющей T90, 90-180 мм</v>
          </cell>
          <cell r="I729" t="str">
            <v>GR bracket T90, 90-180 mm</v>
          </cell>
          <cell r="J729" t="str">
            <v>шт</v>
          </cell>
          <cell r="K729"/>
          <cell r="L729"/>
          <cell r="M729" t="str">
            <v>Order</v>
          </cell>
          <cell r="N729" t="str">
            <v>Russia</v>
          </cell>
          <cell r="O729" t="str">
            <v>Сервис-НГТ</v>
          </cell>
          <cell r="P729" t="str">
            <v>4 weeks</v>
          </cell>
          <cell r="Q729">
            <v>43075</v>
          </cell>
          <cell r="R729"/>
        </row>
        <row r="730">
          <cell r="B730">
            <v>724</v>
          </cell>
          <cell r="C730">
            <v>1</v>
          </cell>
          <cell r="D730" t="str">
            <v>Controller</v>
          </cell>
          <cell r="E730" t="str">
            <v>ОСП0011458</v>
          </cell>
          <cell r="F730">
            <v>46404201100</v>
          </cell>
          <cell r="G730"/>
          <cell r="H730" t="str">
            <v>Система управления лифтом МСУ (ОЛ) 400 кг</v>
          </cell>
          <cell r="I730" t="str">
            <v>Controller MSU (OL) 400 kg</v>
          </cell>
          <cell r="J730" t="str">
            <v>компл</v>
          </cell>
          <cell r="K730">
            <v>2</v>
          </cell>
          <cell r="L730"/>
          <cell r="M730" t="str">
            <v>Order</v>
          </cell>
          <cell r="N730" t="str">
            <v>Russia</v>
          </cell>
          <cell r="O730" t="str">
            <v>ОЛИМП-ЛИФТ</v>
          </cell>
          <cell r="P730" t="str">
            <v>3-4 weeks</v>
          </cell>
          <cell r="Q730">
            <v>43090</v>
          </cell>
          <cell r="R730"/>
        </row>
        <row r="731">
          <cell r="B731">
            <v>725</v>
          </cell>
          <cell r="C731">
            <v>1</v>
          </cell>
          <cell r="D731" t="str">
            <v>Controller</v>
          </cell>
          <cell r="E731" t="str">
            <v>ОСП0011459</v>
          </cell>
          <cell r="F731">
            <v>46404201200</v>
          </cell>
          <cell r="G731"/>
          <cell r="H731" t="str">
            <v>Система управления лифтом МСУ (ОЛ) 630 кг</v>
          </cell>
          <cell r="I731" t="str">
            <v>Controller MSU (OL) 630 kg</v>
          </cell>
          <cell r="J731" t="str">
            <v>компл</v>
          </cell>
          <cell r="K731">
            <v>2</v>
          </cell>
          <cell r="L731"/>
          <cell r="M731" t="str">
            <v>Order</v>
          </cell>
          <cell r="N731" t="str">
            <v>Russia</v>
          </cell>
          <cell r="O731" t="str">
            <v>ОЛИМП-ЛИФТ</v>
          </cell>
          <cell r="P731" t="str">
            <v>3-4 weeks</v>
          </cell>
          <cell r="Q731">
            <v>43090</v>
          </cell>
          <cell r="R731"/>
        </row>
        <row r="732">
          <cell r="B732">
            <v>726</v>
          </cell>
          <cell r="C732">
            <v>1</v>
          </cell>
          <cell r="D732" t="str">
            <v>Controller</v>
          </cell>
          <cell r="E732" t="str">
            <v>ОСП0011460</v>
          </cell>
          <cell r="F732">
            <v>46404201300</v>
          </cell>
          <cell r="G732"/>
          <cell r="H732" t="str">
            <v>Система управления лифтом МСУ (ОЛ) 1000 кг</v>
          </cell>
          <cell r="I732" t="str">
            <v>Controller MSU (OL) 1000 kg</v>
          </cell>
          <cell r="J732" t="str">
            <v>компл</v>
          </cell>
          <cell r="K732">
            <v>2</v>
          </cell>
          <cell r="L732"/>
          <cell r="M732" t="str">
            <v>Order</v>
          </cell>
          <cell r="N732" t="str">
            <v>Russia</v>
          </cell>
          <cell r="O732" t="str">
            <v>ОЛИМП-ЛИФТ</v>
          </cell>
          <cell r="P732" t="str">
            <v>3-4 weeks</v>
          </cell>
          <cell r="Q732">
            <v>43090</v>
          </cell>
          <cell r="R732"/>
        </row>
        <row r="733">
          <cell r="B733">
            <v>727</v>
          </cell>
          <cell r="C733">
            <v>1</v>
          </cell>
          <cell r="D733" t="str">
            <v>Rope</v>
          </cell>
          <cell r="E733" t="str">
            <v>ОСП0012109</v>
          </cell>
          <cell r="F733">
            <v>46451514030</v>
          </cell>
          <cell r="G733"/>
          <cell r="H733" t="str">
            <v>AY Канат 11 мм Северсталь DIN3062 8х19S, 1570, 55,7 kN, заделка с одного конца</v>
          </cell>
          <cell r="I733" t="str">
            <v>AY Rope 11 mm SEVERSTAL DIN3062 8х19S, 1570, 55,7 kN</v>
          </cell>
          <cell r="J733" t="str">
            <v>компл</v>
          </cell>
          <cell r="K733">
            <v>10</v>
          </cell>
          <cell r="L733" t="str">
            <v>Assembly</v>
          </cell>
          <cell r="M733" t="str">
            <v>Order</v>
          </cell>
          <cell r="N733" t="str">
            <v>Russia</v>
          </cell>
          <cell r="O733" t="str">
            <v>Северсталь-Метиз</v>
          </cell>
          <cell r="P733" t="str">
            <v>12 weeks</v>
          </cell>
          <cell r="Q733">
            <v>43090</v>
          </cell>
          <cell r="R733" t="str">
            <v>Тяговый канат</v>
          </cell>
        </row>
        <row r="734">
          <cell r="B734">
            <v>728</v>
          </cell>
          <cell r="C734">
            <v>1</v>
          </cell>
          <cell r="D734" t="str">
            <v>Rope</v>
          </cell>
          <cell r="E734" t="str">
            <v>ОСП0012110</v>
          </cell>
          <cell r="F734">
            <v>46451514031</v>
          </cell>
          <cell r="G734"/>
          <cell r="H734" t="str">
            <v>Канат 11 мм Северсталь DIN3062 8х19S, 1570, 55,7 kN</v>
          </cell>
          <cell r="I734" t="str">
            <v>Rope 11 mm SEVERSTAL DIN3062 8х19S, 1570, 55,7 kN</v>
          </cell>
          <cell r="J734" t="str">
            <v>м</v>
          </cell>
          <cell r="K734"/>
          <cell r="L734"/>
          <cell r="M734" t="str">
            <v>Order</v>
          </cell>
          <cell r="N734" t="str">
            <v>Russia</v>
          </cell>
          <cell r="O734" t="str">
            <v>Северсталь-Метиз</v>
          </cell>
          <cell r="P734" t="str">
            <v>12 weeks</v>
          </cell>
          <cell r="Q734">
            <v>43090</v>
          </cell>
          <cell r="R734"/>
        </row>
        <row r="735">
          <cell r="B735">
            <v>729</v>
          </cell>
          <cell r="C735">
            <v>1</v>
          </cell>
          <cell r="D735" t="str">
            <v>Door</v>
          </cell>
          <cell r="E735" t="str">
            <v>ОСП0012084</v>
          </cell>
          <cell r="F735">
            <v>46451511012</v>
          </cell>
          <cell r="G735"/>
          <cell r="H735" t="str">
            <v>Дверь шахты ТЛДШ 20.14 2СO-700-2000С-EI60-RAL7032</v>
          </cell>
          <cell r="I735" t="str">
            <v>Landing door ТЛДШ 20.14 2СO-700-2000С-EI60-RAL7032</v>
          </cell>
          <cell r="J735" t="str">
            <v>шт</v>
          </cell>
          <cell r="K735">
            <v>13</v>
          </cell>
          <cell r="L735"/>
          <cell r="M735" t="str">
            <v>Order</v>
          </cell>
          <cell r="N735" t="str">
            <v>Russia</v>
          </cell>
          <cell r="O735" t="str">
            <v>Тула Лифт</v>
          </cell>
          <cell r="P735" t="str">
            <v>8 weeks</v>
          </cell>
          <cell r="Q735">
            <v>43090</v>
          </cell>
          <cell r="R735"/>
        </row>
        <row r="736">
          <cell r="B736">
            <v>730</v>
          </cell>
          <cell r="C736">
            <v>1</v>
          </cell>
          <cell r="D736" t="str">
            <v>Door</v>
          </cell>
          <cell r="E736" t="str">
            <v>ОСП0012085</v>
          </cell>
          <cell r="F736">
            <v>46451511015</v>
          </cell>
          <cell r="G736"/>
          <cell r="H736" t="str">
            <v>Дверь шахты ТЛДШ 20.14 2СO-700-2000С-EI60-SS</v>
          </cell>
          <cell r="I736" t="str">
            <v>Landing door ТЛДШ 20.14 2СO-700-2000С-EI60-SS</v>
          </cell>
          <cell r="J736" t="str">
            <v>шт</v>
          </cell>
          <cell r="K736">
            <v>13</v>
          </cell>
          <cell r="L736"/>
          <cell r="M736" t="str">
            <v>Order</v>
          </cell>
          <cell r="N736" t="str">
            <v>Russia</v>
          </cell>
          <cell r="O736" t="str">
            <v>Тула Лифт</v>
          </cell>
          <cell r="P736" t="str">
            <v>8 weeks</v>
          </cell>
          <cell r="Q736">
            <v>43090</v>
          </cell>
          <cell r="R736"/>
        </row>
        <row r="737">
          <cell r="B737">
            <v>731</v>
          </cell>
          <cell r="C737">
            <v>1</v>
          </cell>
          <cell r="D737" t="str">
            <v>Door</v>
          </cell>
          <cell r="E737" t="str">
            <v>ОСП0012086</v>
          </cell>
          <cell r="F737">
            <v>46451511071</v>
          </cell>
          <cell r="G737"/>
          <cell r="H737" t="str">
            <v>Дверь шахты ТЛДШ 20.14 2SO-700-2000L-E30-RAL7032</v>
          </cell>
          <cell r="I737" t="str">
            <v>Landing door ТЛДШ 20.14 2SO-700-2000L-E30-RAL7032</v>
          </cell>
          <cell r="J737" t="str">
            <v>шт</v>
          </cell>
          <cell r="K737">
            <v>13</v>
          </cell>
          <cell r="L737"/>
          <cell r="M737" t="str">
            <v>Order</v>
          </cell>
          <cell r="N737" t="str">
            <v>Russia</v>
          </cell>
          <cell r="O737" t="str">
            <v>Тула Лифт</v>
          </cell>
          <cell r="P737" t="str">
            <v>8 weeks</v>
          </cell>
          <cell r="Q737">
            <v>43090</v>
          </cell>
          <cell r="R737"/>
        </row>
        <row r="738">
          <cell r="B738">
            <v>732</v>
          </cell>
          <cell r="C738">
            <v>1</v>
          </cell>
          <cell r="D738" t="str">
            <v>Door</v>
          </cell>
          <cell r="E738" t="str">
            <v>ОСП0012087</v>
          </cell>
          <cell r="F738">
            <v>46451511074</v>
          </cell>
          <cell r="G738"/>
          <cell r="H738" t="str">
            <v>Дверь шахты ТЛДШ 20.14 2SO-700-2000L-E30-SS</v>
          </cell>
          <cell r="I738" t="str">
            <v>Landing door ТЛДШ 20.14 2SO-700-2000L-E30-SS</v>
          </cell>
          <cell r="J738" t="str">
            <v>шт</v>
          </cell>
          <cell r="K738">
            <v>13</v>
          </cell>
          <cell r="L738"/>
          <cell r="M738" t="str">
            <v>Order</v>
          </cell>
          <cell r="N738" t="str">
            <v>Russia</v>
          </cell>
          <cell r="O738" t="str">
            <v>Тула Лифт</v>
          </cell>
          <cell r="P738" t="str">
            <v>8 weeks</v>
          </cell>
          <cell r="Q738">
            <v>43090</v>
          </cell>
          <cell r="R738"/>
        </row>
        <row r="739">
          <cell r="B739">
            <v>733</v>
          </cell>
          <cell r="C739">
            <v>1</v>
          </cell>
          <cell r="D739" t="str">
            <v>Door</v>
          </cell>
          <cell r="E739" t="str">
            <v>ОСП0012088</v>
          </cell>
          <cell r="F739">
            <v>46451511072</v>
          </cell>
          <cell r="G739"/>
          <cell r="H739" t="str">
            <v>Дверь шахты ТЛДШ 20.14 2SO-700-2000L-EI60-RAL7032</v>
          </cell>
          <cell r="I739" t="str">
            <v>Landing door ТЛДШ 20.14 2SO-700-2000L-EI60-RAL7032</v>
          </cell>
          <cell r="J739" t="str">
            <v>шт</v>
          </cell>
          <cell r="K739">
            <v>13</v>
          </cell>
          <cell r="L739"/>
          <cell r="M739" t="str">
            <v>Order</v>
          </cell>
          <cell r="N739" t="str">
            <v>Russia</v>
          </cell>
          <cell r="O739" t="str">
            <v>Тула Лифт</v>
          </cell>
          <cell r="P739" t="str">
            <v>8 weeks</v>
          </cell>
          <cell r="Q739">
            <v>43090</v>
          </cell>
          <cell r="R739"/>
        </row>
        <row r="740">
          <cell r="B740">
            <v>734</v>
          </cell>
          <cell r="C740">
            <v>1</v>
          </cell>
          <cell r="D740" t="str">
            <v>Door</v>
          </cell>
          <cell r="E740" t="str">
            <v>ОСП0012089</v>
          </cell>
          <cell r="F740">
            <v>46451511075</v>
          </cell>
          <cell r="G740"/>
          <cell r="H740" t="str">
            <v>Дверь шахты ТЛДШ 20.14 2SO-700-2000L-EI60-SS</v>
          </cell>
          <cell r="I740" t="str">
            <v>Landing door ТЛДШ 20.14 2SO-700-2000L-EI60-SS</v>
          </cell>
          <cell r="J740" t="str">
            <v>шт</v>
          </cell>
          <cell r="K740">
            <v>13</v>
          </cell>
          <cell r="L740"/>
          <cell r="M740" t="str">
            <v>Order</v>
          </cell>
          <cell r="N740" t="str">
            <v>Russia</v>
          </cell>
          <cell r="O740" t="str">
            <v>Тула Лифт</v>
          </cell>
          <cell r="P740" t="str">
            <v>8 weeks</v>
          </cell>
          <cell r="Q740">
            <v>43090</v>
          </cell>
          <cell r="R740"/>
        </row>
        <row r="741">
          <cell r="B741">
            <v>735</v>
          </cell>
          <cell r="C741">
            <v>1</v>
          </cell>
          <cell r="D741" t="str">
            <v>Door</v>
          </cell>
          <cell r="E741" t="str">
            <v>ОСП0012090</v>
          </cell>
          <cell r="F741">
            <v>46451511077</v>
          </cell>
          <cell r="G741"/>
          <cell r="H741" t="str">
            <v>Дверь шахты ТЛДШ 20.14 2SO-700-2000R-E30-RAL7032</v>
          </cell>
          <cell r="I741" t="str">
            <v>Landing door ТЛДШ 20.14 2SO-700-2000R-E30-RAL7032</v>
          </cell>
          <cell r="J741" t="str">
            <v>шт</v>
          </cell>
          <cell r="K741">
            <v>13</v>
          </cell>
          <cell r="L741"/>
          <cell r="M741" t="str">
            <v>Order</v>
          </cell>
          <cell r="N741" t="str">
            <v>Russia</v>
          </cell>
          <cell r="O741" t="str">
            <v>Тула Лифт</v>
          </cell>
          <cell r="P741" t="str">
            <v>8 weeks</v>
          </cell>
          <cell r="Q741">
            <v>43090</v>
          </cell>
          <cell r="R741"/>
        </row>
        <row r="742">
          <cell r="B742">
            <v>736</v>
          </cell>
          <cell r="C742">
            <v>1</v>
          </cell>
          <cell r="D742" t="str">
            <v>Door</v>
          </cell>
          <cell r="E742" t="str">
            <v>ОСП0012091</v>
          </cell>
          <cell r="F742">
            <v>46451511080</v>
          </cell>
          <cell r="G742"/>
          <cell r="H742" t="str">
            <v>Дверь шахты ТЛДШ 20.14 2SO-700-2000R-E30-SS</v>
          </cell>
          <cell r="I742" t="str">
            <v>Landing door ТЛДШ 20.14 2SO-700-2000R-E30-SS</v>
          </cell>
          <cell r="J742" t="str">
            <v>шт</v>
          </cell>
          <cell r="K742">
            <v>13</v>
          </cell>
          <cell r="L742"/>
          <cell r="M742" t="str">
            <v>Order</v>
          </cell>
          <cell r="N742" t="str">
            <v>Russia</v>
          </cell>
          <cell r="O742" t="str">
            <v>Тула Лифт</v>
          </cell>
          <cell r="P742" t="str">
            <v>8 weeks</v>
          </cell>
          <cell r="Q742">
            <v>43090</v>
          </cell>
          <cell r="R742"/>
        </row>
        <row r="743">
          <cell r="B743">
            <v>737</v>
          </cell>
          <cell r="C743">
            <v>1</v>
          </cell>
          <cell r="D743" t="str">
            <v>Door</v>
          </cell>
          <cell r="E743" t="str">
            <v>ОСП0012092</v>
          </cell>
          <cell r="F743">
            <v>46451511078</v>
          </cell>
          <cell r="G743"/>
          <cell r="H743" t="str">
            <v>Дверь шахты ТЛДШ 20.14 2SO-700-2000R-EI60-RAL7032</v>
          </cell>
          <cell r="I743" t="str">
            <v>Landing door ТЛДШ 20.14 2SO-700-2000R-EI60-RAL7032</v>
          </cell>
          <cell r="J743" t="str">
            <v>шт</v>
          </cell>
          <cell r="K743">
            <v>13</v>
          </cell>
          <cell r="L743"/>
          <cell r="M743" t="str">
            <v>Order</v>
          </cell>
          <cell r="N743" t="str">
            <v>Russia</v>
          </cell>
          <cell r="O743" t="str">
            <v>Тула Лифт</v>
          </cell>
          <cell r="P743" t="str">
            <v>8 weeks</v>
          </cell>
          <cell r="Q743">
            <v>43090</v>
          </cell>
          <cell r="R743"/>
        </row>
        <row r="744">
          <cell r="B744">
            <v>738</v>
          </cell>
          <cell r="C744">
            <v>1</v>
          </cell>
          <cell r="D744" t="str">
            <v>Door</v>
          </cell>
          <cell r="E744" t="str">
            <v>ОСП0012093</v>
          </cell>
          <cell r="F744">
            <v>46451511081</v>
          </cell>
          <cell r="G744"/>
          <cell r="H744" t="str">
            <v>Дверь шахты ТЛДШ 20.14 2SO-700-2000R-EI60-SS</v>
          </cell>
          <cell r="I744" t="str">
            <v>Landing door ТЛДШ 20.14 2SO-700-2000R-EI60-SS</v>
          </cell>
          <cell r="J744" t="str">
            <v>шт</v>
          </cell>
          <cell r="K744">
            <v>13</v>
          </cell>
          <cell r="L744"/>
          <cell r="M744" t="str">
            <v>Order</v>
          </cell>
          <cell r="N744" t="str">
            <v>Russia</v>
          </cell>
          <cell r="O744" t="str">
            <v>Тула Лифт</v>
          </cell>
          <cell r="P744" t="str">
            <v>8 weeks</v>
          </cell>
          <cell r="Q744">
            <v>43090</v>
          </cell>
          <cell r="R744"/>
        </row>
        <row r="745">
          <cell r="B745">
            <v>739</v>
          </cell>
          <cell r="C745">
            <v>1</v>
          </cell>
          <cell r="D745" t="str">
            <v>Door</v>
          </cell>
          <cell r="E745" t="str">
            <v>ОСП0012094</v>
          </cell>
          <cell r="F745">
            <v>46451511043</v>
          </cell>
          <cell r="G745"/>
          <cell r="H745" t="str">
            <v>Дверь шахты ТЛДШ 20.14 2СO-800-2000С-E30-RAL7032</v>
          </cell>
          <cell r="I745" t="str">
            <v>Landing door ТЛДШ 20.14 2СO-800-2000С-E30-RAL7032</v>
          </cell>
          <cell r="J745" t="str">
            <v>шт</v>
          </cell>
          <cell r="K745">
            <v>13</v>
          </cell>
          <cell r="L745"/>
          <cell r="M745" t="str">
            <v>Order</v>
          </cell>
          <cell r="N745" t="str">
            <v>Russia</v>
          </cell>
          <cell r="O745" t="str">
            <v>Тула Лифт</v>
          </cell>
          <cell r="P745" t="str">
            <v>8 weeks</v>
          </cell>
          <cell r="Q745">
            <v>43090</v>
          </cell>
          <cell r="R745"/>
        </row>
        <row r="746">
          <cell r="B746">
            <v>740</v>
          </cell>
          <cell r="C746">
            <v>1</v>
          </cell>
          <cell r="D746" t="str">
            <v>Door</v>
          </cell>
          <cell r="E746" t="str">
            <v>ОСП0012095</v>
          </cell>
          <cell r="F746">
            <v>46451511044</v>
          </cell>
          <cell r="G746"/>
          <cell r="H746" t="str">
            <v>Дверь шахты ТЛДШ 20.14 2СO-800-2000С-E30-SS</v>
          </cell>
          <cell r="I746" t="str">
            <v>Landing door ТЛДШ 20.14 2СO-800-2000С-E30-SS</v>
          </cell>
          <cell r="J746" t="str">
            <v>шт</v>
          </cell>
          <cell r="K746">
            <v>13</v>
          </cell>
          <cell r="L746"/>
          <cell r="M746" t="str">
            <v>Order</v>
          </cell>
          <cell r="N746" t="str">
            <v>Russia</v>
          </cell>
          <cell r="O746" t="str">
            <v>Тула Лифт</v>
          </cell>
          <cell r="P746" t="str">
            <v>8 weeks</v>
          </cell>
          <cell r="Q746">
            <v>43090</v>
          </cell>
          <cell r="R746"/>
        </row>
        <row r="747">
          <cell r="B747">
            <v>741</v>
          </cell>
          <cell r="C747">
            <v>1</v>
          </cell>
          <cell r="D747" t="str">
            <v>Door</v>
          </cell>
          <cell r="E747" t="str">
            <v>ОСП0012096</v>
          </cell>
          <cell r="F747">
            <v>46451511042</v>
          </cell>
          <cell r="G747"/>
          <cell r="H747" t="str">
            <v>Дверь шахты ТЛДШ 20.14 2СO-800-2000С-EI60-RAL7032</v>
          </cell>
          <cell r="I747" t="str">
            <v>Landing door ТЛДШ 20.14 2СO-800-2000С-EI60-RAL7032</v>
          </cell>
          <cell r="J747" t="str">
            <v>шт</v>
          </cell>
          <cell r="K747">
            <v>13</v>
          </cell>
          <cell r="L747"/>
          <cell r="M747" t="str">
            <v>Order</v>
          </cell>
          <cell r="N747" t="str">
            <v>Russia</v>
          </cell>
          <cell r="O747" t="str">
            <v>Тула Лифт</v>
          </cell>
          <cell r="P747" t="str">
            <v>8 weeks</v>
          </cell>
          <cell r="Q747">
            <v>43090</v>
          </cell>
          <cell r="R747"/>
        </row>
        <row r="748">
          <cell r="B748">
            <v>742</v>
          </cell>
          <cell r="C748">
            <v>1</v>
          </cell>
          <cell r="D748" t="str">
            <v>Door</v>
          </cell>
          <cell r="E748" t="str">
            <v>ОСП0012097</v>
          </cell>
          <cell r="F748">
            <v>46451511045</v>
          </cell>
          <cell r="G748"/>
          <cell r="H748" t="str">
            <v>Дверь шахты ТЛДШ 20.14 2СO-800-2000С-EI60-SS</v>
          </cell>
          <cell r="I748" t="str">
            <v>Landing door ТЛДШ 20.14 2СO-800-2000С-EI60-SS</v>
          </cell>
          <cell r="J748" t="str">
            <v>шт</v>
          </cell>
          <cell r="K748">
            <v>13</v>
          </cell>
          <cell r="L748"/>
          <cell r="M748" t="str">
            <v>Order</v>
          </cell>
          <cell r="N748" t="str">
            <v>Russia</v>
          </cell>
          <cell r="O748" t="str">
            <v>Тула Лифт</v>
          </cell>
          <cell r="P748" t="str">
            <v>8 weeks</v>
          </cell>
          <cell r="Q748">
            <v>43090</v>
          </cell>
          <cell r="R748"/>
        </row>
        <row r="749">
          <cell r="B749">
            <v>743</v>
          </cell>
          <cell r="C749">
            <v>1</v>
          </cell>
          <cell r="D749" t="str">
            <v>Door</v>
          </cell>
          <cell r="E749" t="str">
            <v>ОСП0012098</v>
          </cell>
          <cell r="F749">
            <v>46451511050</v>
          </cell>
          <cell r="G749"/>
          <cell r="H749" t="str">
            <v>Дверь шахты ТЛДШ 20.14 2SO-900-2000L-E30-RAL7032</v>
          </cell>
          <cell r="I749" t="str">
            <v>Landing door ТЛДШ 20.14 2SO-900-2000L-E30-RAL7032</v>
          </cell>
          <cell r="J749" t="str">
            <v>шт</v>
          </cell>
          <cell r="K749">
            <v>13</v>
          </cell>
          <cell r="L749"/>
          <cell r="M749" t="str">
            <v>Order</v>
          </cell>
          <cell r="N749" t="str">
            <v>Russia</v>
          </cell>
          <cell r="O749" t="str">
            <v>Тула Лифт</v>
          </cell>
          <cell r="P749" t="str">
            <v>8 weeks</v>
          </cell>
          <cell r="Q749">
            <v>43090</v>
          </cell>
          <cell r="R749"/>
        </row>
        <row r="750">
          <cell r="B750">
            <v>744</v>
          </cell>
          <cell r="C750">
            <v>1</v>
          </cell>
          <cell r="D750" t="str">
            <v>Door</v>
          </cell>
          <cell r="E750" t="str">
            <v xml:space="preserve">ОСП0012099 </v>
          </cell>
          <cell r="F750">
            <v>46451511051</v>
          </cell>
          <cell r="G750"/>
          <cell r="H750" t="str">
            <v>Дверь шахты ТЛДШ 20.14 2SO-900-2000L-E30-SS</v>
          </cell>
          <cell r="I750" t="str">
            <v>Landing door ТЛДШ 20.14 2SO-900-2000L-E30-SS</v>
          </cell>
          <cell r="J750" t="str">
            <v>шт</v>
          </cell>
          <cell r="K750">
            <v>13</v>
          </cell>
          <cell r="L750"/>
          <cell r="M750" t="str">
            <v>Order</v>
          </cell>
          <cell r="N750" t="str">
            <v>Russia</v>
          </cell>
          <cell r="O750" t="str">
            <v>Тула Лифт</v>
          </cell>
          <cell r="P750" t="str">
            <v>8 weeks</v>
          </cell>
          <cell r="Q750">
            <v>43090</v>
          </cell>
          <cell r="R750"/>
        </row>
        <row r="751">
          <cell r="B751">
            <v>745</v>
          </cell>
          <cell r="C751">
            <v>1</v>
          </cell>
          <cell r="D751" t="str">
            <v>Door</v>
          </cell>
          <cell r="E751" t="str">
            <v>ОСП0012100</v>
          </cell>
          <cell r="F751">
            <v>46451511052</v>
          </cell>
          <cell r="G751"/>
          <cell r="H751" t="str">
            <v>Дверь шахты ТЛДШ 20.14 2SO-900-2000L-EI60-RAL7032</v>
          </cell>
          <cell r="I751" t="str">
            <v>Landing door ТЛДШ 20.14 2SO-900-2000L-EI60-RAL7032</v>
          </cell>
          <cell r="J751" t="str">
            <v>шт</v>
          </cell>
          <cell r="K751">
            <v>13</v>
          </cell>
          <cell r="L751"/>
          <cell r="M751" t="str">
            <v>Order</v>
          </cell>
          <cell r="N751" t="str">
            <v>Russia</v>
          </cell>
          <cell r="O751" t="str">
            <v>Тула Лифт</v>
          </cell>
          <cell r="P751" t="str">
            <v>8 weeks</v>
          </cell>
          <cell r="Q751">
            <v>43090</v>
          </cell>
          <cell r="R751"/>
        </row>
        <row r="752">
          <cell r="B752">
            <v>746</v>
          </cell>
          <cell r="C752">
            <v>1</v>
          </cell>
          <cell r="D752" t="str">
            <v>Door</v>
          </cell>
          <cell r="E752" t="str">
            <v>ОСП0012101</v>
          </cell>
          <cell r="F752">
            <v>46451511054</v>
          </cell>
          <cell r="G752"/>
          <cell r="H752" t="str">
            <v>Дверь шахты ТЛДШ 20.14 2SO-900-2000R-E30-RAL7032</v>
          </cell>
          <cell r="I752" t="str">
            <v>Landing door ТЛДШ 20.14 2SO-900-2000R-E30-RAL7032</v>
          </cell>
          <cell r="J752" t="str">
            <v>шт</v>
          </cell>
          <cell r="K752">
            <v>13</v>
          </cell>
          <cell r="L752"/>
          <cell r="M752" t="str">
            <v>Order</v>
          </cell>
          <cell r="N752" t="str">
            <v>Russia</v>
          </cell>
          <cell r="O752" t="str">
            <v>Тула Лифт</v>
          </cell>
          <cell r="P752" t="str">
            <v>8 weeks</v>
          </cell>
          <cell r="Q752">
            <v>43090</v>
          </cell>
          <cell r="R752"/>
        </row>
        <row r="753">
          <cell r="B753">
            <v>747</v>
          </cell>
          <cell r="C753">
            <v>1</v>
          </cell>
          <cell r="D753" t="str">
            <v>Door</v>
          </cell>
          <cell r="E753" t="str">
            <v>ОСП0012102</v>
          </cell>
          <cell r="F753">
            <v>46451511055</v>
          </cell>
          <cell r="G753"/>
          <cell r="H753" t="str">
            <v>Дверь шахты ТЛДШ 20.14 2SO-900-2000R-E30-SS</v>
          </cell>
          <cell r="I753" t="str">
            <v>Landing door ТЛДШ 20.14 2SO-900-2000R-E30-SS</v>
          </cell>
          <cell r="J753" t="str">
            <v>шт</v>
          </cell>
          <cell r="K753">
            <v>13</v>
          </cell>
          <cell r="L753"/>
          <cell r="M753" t="str">
            <v>Order</v>
          </cell>
          <cell r="N753" t="str">
            <v>Russia</v>
          </cell>
          <cell r="O753" t="str">
            <v>Тула Лифт</v>
          </cell>
          <cell r="P753" t="str">
            <v>8 weeks</v>
          </cell>
          <cell r="Q753">
            <v>43090</v>
          </cell>
          <cell r="R753"/>
        </row>
        <row r="754">
          <cell r="B754">
            <v>748</v>
          </cell>
          <cell r="C754">
            <v>1</v>
          </cell>
          <cell r="D754" t="str">
            <v>Door</v>
          </cell>
          <cell r="E754" t="str">
            <v>ОСП0012103</v>
          </cell>
          <cell r="F754">
            <v>46451511056</v>
          </cell>
          <cell r="G754"/>
          <cell r="H754" t="str">
            <v>Дверь шахты ТЛДШ 20.14 2SO-900-2000R-EI60-RAL7032</v>
          </cell>
          <cell r="I754" t="str">
            <v>Landing door ТЛДШ 20.14 2SO-900-2000R-EI60-RAL7032</v>
          </cell>
          <cell r="J754" t="str">
            <v>шт</v>
          </cell>
          <cell r="K754">
            <v>13</v>
          </cell>
          <cell r="L754"/>
          <cell r="M754" t="str">
            <v>Order</v>
          </cell>
          <cell r="N754" t="str">
            <v>Russia</v>
          </cell>
          <cell r="O754" t="str">
            <v>Тула Лифт</v>
          </cell>
          <cell r="P754" t="str">
            <v>8 weeks</v>
          </cell>
          <cell r="Q754">
            <v>43090</v>
          </cell>
          <cell r="R754"/>
        </row>
        <row r="755">
          <cell r="B755">
            <v>749</v>
          </cell>
          <cell r="C755">
            <v>1</v>
          </cell>
          <cell r="D755" t="str">
            <v>Door</v>
          </cell>
          <cell r="E755" t="str">
            <v>ОСП0012104</v>
          </cell>
          <cell r="F755">
            <v>46451511022</v>
          </cell>
          <cell r="G755"/>
          <cell r="H755" t="str">
            <v>Дверь шахты ТЛДШ 20.14 2SO-1200-2000L-EI60-RAL7032</v>
          </cell>
          <cell r="I755" t="str">
            <v>Landing door ТЛДШ 20.14 2SO-1200-2000L-EI60-RAL7032</v>
          </cell>
          <cell r="J755" t="str">
            <v>шт</v>
          </cell>
          <cell r="K755">
            <v>13</v>
          </cell>
          <cell r="L755"/>
          <cell r="M755" t="str">
            <v>Order</v>
          </cell>
          <cell r="N755" t="str">
            <v>Russia</v>
          </cell>
          <cell r="O755" t="str">
            <v>Тула Лифт</v>
          </cell>
          <cell r="P755" t="str">
            <v>8 weeks</v>
          </cell>
          <cell r="Q755">
            <v>43090</v>
          </cell>
          <cell r="R755"/>
        </row>
        <row r="756">
          <cell r="B756">
            <v>750</v>
          </cell>
          <cell r="C756">
            <v>1</v>
          </cell>
          <cell r="D756" t="str">
            <v>Door</v>
          </cell>
          <cell r="E756" t="str">
            <v>ОСП0012105</v>
          </cell>
          <cell r="F756">
            <v>46451511025</v>
          </cell>
          <cell r="G756"/>
          <cell r="H756" t="str">
            <v>Дверь шахты ТЛДШ 20.14 2SO-1200-2000L-EI60-SS</v>
          </cell>
          <cell r="I756" t="str">
            <v>Landing door ТЛДШ 20.14 2SO-1200-2000L-EI60-SS</v>
          </cell>
          <cell r="J756" t="str">
            <v>шт</v>
          </cell>
          <cell r="K756">
            <v>13</v>
          </cell>
          <cell r="L756"/>
          <cell r="M756" t="str">
            <v>Order</v>
          </cell>
          <cell r="N756" t="str">
            <v>Russia</v>
          </cell>
          <cell r="O756" t="str">
            <v>Тула Лифт</v>
          </cell>
          <cell r="P756" t="str">
            <v>8 weeks</v>
          </cell>
          <cell r="Q756">
            <v>43090</v>
          </cell>
          <cell r="R756"/>
        </row>
        <row r="757">
          <cell r="B757">
            <v>751</v>
          </cell>
          <cell r="C757">
            <v>1</v>
          </cell>
          <cell r="D757" t="str">
            <v>Door</v>
          </cell>
          <cell r="E757" t="str">
            <v>ОСП0012106</v>
          </cell>
          <cell r="F757">
            <v>46451511027</v>
          </cell>
          <cell r="G757"/>
          <cell r="H757" t="str">
            <v>Дверь шахты ТЛДШ 20.14 2SO-1200-2000R-E30-RAL7032</v>
          </cell>
          <cell r="I757" t="str">
            <v>Landing door ТЛДШ 20.14 2SO-1200-2000R-E30-RAL7032</v>
          </cell>
          <cell r="J757" t="str">
            <v>шт</v>
          </cell>
          <cell r="K757">
            <v>13</v>
          </cell>
          <cell r="L757"/>
          <cell r="M757" t="str">
            <v>Order</v>
          </cell>
          <cell r="N757" t="str">
            <v>Russia</v>
          </cell>
          <cell r="O757" t="str">
            <v>Тула Лифт</v>
          </cell>
          <cell r="P757" t="str">
            <v>8 weeks</v>
          </cell>
          <cell r="Q757">
            <v>43090</v>
          </cell>
          <cell r="R757"/>
        </row>
        <row r="758">
          <cell r="B758">
            <v>752</v>
          </cell>
          <cell r="C758">
            <v>1</v>
          </cell>
          <cell r="D758" t="str">
            <v>Door</v>
          </cell>
          <cell r="E758" t="str">
            <v>ОСП0012107</v>
          </cell>
          <cell r="F758">
            <v>46451511030</v>
          </cell>
          <cell r="G758"/>
          <cell r="H758" t="str">
            <v>Дверь шахты ТЛДШ 20.14 2SO-1200-2000R-E30-SS</v>
          </cell>
          <cell r="I758" t="str">
            <v>Landing door ТЛДШ 20.14 2SO-1200-2000R-E30-SS</v>
          </cell>
          <cell r="J758" t="str">
            <v>шт</v>
          </cell>
          <cell r="K758">
            <v>13</v>
          </cell>
          <cell r="L758"/>
          <cell r="M758" t="str">
            <v>Order</v>
          </cell>
          <cell r="N758" t="str">
            <v>Russia</v>
          </cell>
          <cell r="O758" t="str">
            <v>Тула Лифт</v>
          </cell>
          <cell r="P758" t="str">
            <v>8 weeks</v>
          </cell>
          <cell r="Q758">
            <v>43090</v>
          </cell>
          <cell r="R758"/>
        </row>
        <row r="759">
          <cell r="B759">
            <v>753</v>
          </cell>
          <cell r="C759">
            <v>1</v>
          </cell>
          <cell r="D759" t="str">
            <v>Door</v>
          </cell>
          <cell r="E759" t="str">
            <v>ОСП0012108</v>
          </cell>
          <cell r="F759">
            <v>46451511028</v>
          </cell>
          <cell r="G759"/>
          <cell r="H759" t="str">
            <v>Дверь шахты ТЛДШ 20.14 2SO-1200-2000R-EI60-RAL7032</v>
          </cell>
          <cell r="I759" t="str">
            <v>Landing door ТЛДШ 20.14 2SO-1200-2000R-EI60-RAL7032</v>
          </cell>
          <cell r="J759" t="str">
            <v>шт</v>
          </cell>
          <cell r="K759">
            <v>13</v>
          </cell>
          <cell r="L759"/>
          <cell r="M759" t="str">
            <v>Order</v>
          </cell>
          <cell r="N759" t="str">
            <v>Russia</v>
          </cell>
          <cell r="O759" t="str">
            <v>Тула Лифт</v>
          </cell>
          <cell r="P759" t="str">
            <v>8 weeks</v>
          </cell>
          <cell r="Q759">
            <v>43090</v>
          </cell>
          <cell r="R759"/>
        </row>
        <row r="760">
          <cell r="B760">
            <v>754</v>
          </cell>
          <cell r="C760">
            <v>1</v>
          </cell>
          <cell r="D760" t="str">
            <v>Rope</v>
          </cell>
          <cell r="E760" t="str">
            <v>ОСП0012111</v>
          </cell>
          <cell r="F760">
            <v>46451514100</v>
          </cell>
          <cell r="G760"/>
          <cell r="H760" t="str">
            <v>AY Комплект канатов Северсталь DIN3062 d11 (55,7 kN) и d8 (ОС, 33,9 kN)</v>
          </cell>
          <cell r="I760" t="str">
            <v>AY Rope kit SEVERSTAL DIN3062 d11 (55,7 kN) and d8 (OSG, 33,9 kN)</v>
          </cell>
          <cell r="J760" t="str">
            <v>компл</v>
          </cell>
          <cell r="K760">
            <v>10</v>
          </cell>
          <cell r="L760" t="str">
            <v>Assembly</v>
          </cell>
          <cell r="M760" t="str">
            <v>Order</v>
          </cell>
          <cell r="N760" t="str">
            <v>Russia</v>
          </cell>
          <cell r="O760" t="str">
            <v>Северсталь-Метиз</v>
          </cell>
          <cell r="P760" t="str">
            <v>12 weeks</v>
          </cell>
          <cell r="Q760">
            <v>43090</v>
          </cell>
          <cell r="R760"/>
        </row>
        <row r="761">
          <cell r="B761">
            <v>755</v>
          </cell>
          <cell r="C761">
            <v>1</v>
          </cell>
          <cell r="D761" t="str">
            <v>Rope</v>
          </cell>
          <cell r="E761" t="str">
            <v>ОСП0012112</v>
          </cell>
          <cell r="F761">
            <v>46451514200</v>
          </cell>
          <cell r="G761"/>
          <cell r="H761" t="str">
            <v>AY Комплект канатов Северсталь DIN3062 d8 (29,4 kN) и d8 (ОС, 33,9 kN)</v>
          </cell>
          <cell r="I761" t="str">
            <v>AY Rope kit SEVERSTAL DIN3062 d8 (29,4 kN) and d8 (OSG, 33,9 kN)</v>
          </cell>
          <cell r="J761" t="str">
            <v>компл</v>
          </cell>
          <cell r="K761">
            <v>10</v>
          </cell>
          <cell r="L761" t="str">
            <v>Assembly</v>
          </cell>
          <cell r="M761" t="str">
            <v>Order</v>
          </cell>
          <cell r="N761" t="str">
            <v>Russia</v>
          </cell>
          <cell r="O761" t="str">
            <v>Северсталь-Метиз</v>
          </cell>
          <cell r="P761" t="str">
            <v>12 weeks</v>
          </cell>
          <cell r="Q761">
            <v>43090</v>
          </cell>
          <cell r="R761"/>
        </row>
        <row r="762">
          <cell r="B762">
            <v>756</v>
          </cell>
          <cell r="C762">
            <v>1</v>
          </cell>
          <cell r="D762" t="str">
            <v>Controller</v>
          </cell>
          <cell r="E762" t="str">
            <v>ОСП0011421</v>
          </cell>
          <cell r="F762">
            <v>46404201401</v>
          </cell>
          <cell r="G762" t="str">
            <v>94262</v>
          </cell>
          <cell r="H762" t="str">
            <v>Лампа светодиодная Navigator NLL MR16 5W 12V 3000K GU5.3</v>
          </cell>
          <cell r="I762" t="str">
            <v>NLL-MR16-5-12-3K-GU5.3 LED lamp Navigator</v>
          </cell>
          <cell r="J762" t="str">
            <v>шт</v>
          </cell>
          <cell r="K762">
            <v>2</v>
          </cell>
          <cell r="L762"/>
          <cell r="M762" t="str">
            <v>Order</v>
          </cell>
          <cell r="N762" t="str">
            <v>Russia</v>
          </cell>
          <cell r="O762"/>
          <cell r="P762" t="str">
            <v>2 weeks</v>
          </cell>
          <cell r="Q762">
            <v>43115</v>
          </cell>
          <cell r="R762" t="str">
            <v>LED лампа</v>
          </cell>
        </row>
        <row r="763">
          <cell r="B763">
            <v>757</v>
          </cell>
          <cell r="C763">
            <v>1</v>
          </cell>
          <cell r="D763" t="str">
            <v>Controller</v>
          </cell>
          <cell r="E763" t="str">
            <v>ОСП0011422</v>
          </cell>
          <cell r="F763">
            <v>46404201402</v>
          </cell>
          <cell r="G763" t="str">
            <v>SQ0359-0022</v>
          </cell>
          <cell r="H763" t="str">
            <v>Плафон СВ 01-01 MR16 50Вт G5.3 белый свет-к TDM</v>
          </cell>
          <cell r="I763" t="str">
            <v>СВ 01-01 MR16 50W G5.3 chrome lamp plafond TDM</v>
          </cell>
          <cell r="J763" t="str">
            <v>шт</v>
          </cell>
          <cell r="K763">
            <v>2</v>
          </cell>
          <cell r="L763"/>
          <cell r="M763" t="str">
            <v>Order</v>
          </cell>
          <cell r="N763" t="str">
            <v>Russia</v>
          </cell>
          <cell r="O763"/>
          <cell r="P763" t="str">
            <v>2 weeks</v>
          </cell>
          <cell r="Q763">
            <v>43115</v>
          </cell>
          <cell r="R763" t="str">
            <v>Плафон, под хром</v>
          </cell>
        </row>
        <row r="764">
          <cell r="B764">
            <v>758</v>
          </cell>
          <cell r="C764">
            <v>1</v>
          </cell>
          <cell r="D764" t="str">
            <v>Controller</v>
          </cell>
          <cell r="E764" t="str">
            <v>ОСП0011423</v>
          </cell>
          <cell r="F764">
            <v>46404201403</v>
          </cell>
          <cell r="G764" t="str">
            <v>71618</v>
          </cell>
          <cell r="H764" t="str">
            <v>NLH-CL-GU5.3 для ГЛН и LED ламп патрон электрический Navigator</v>
          </cell>
          <cell r="I764" t="str">
            <v>NLH-CL-GU5.3 for halogen and LED lamps electric cartridge Navigator</v>
          </cell>
          <cell r="J764" t="str">
            <v>шт</v>
          </cell>
          <cell r="K764">
            <v>2</v>
          </cell>
          <cell r="L764"/>
          <cell r="M764" t="str">
            <v>Order</v>
          </cell>
          <cell r="N764" t="str">
            <v>Russia</v>
          </cell>
          <cell r="O764"/>
          <cell r="P764" t="str">
            <v>2 weeks</v>
          </cell>
          <cell r="Q764">
            <v>43115</v>
          </cell>
          <cell r="R764" t="str">
            <v>Патрон</v>
          </cell>
        </row>
        <row r="765">
          <cell r="B765">
            <v>759</v>
          </cell>
          <cell r="C765">
            <v>1</v>
          </cell>
          <cell r="D765" t="str">
            <v>Controller</v>
          </cell>
          <cell r="E765" t="str">
            <v>М00000872</v>
          </cell>
          <cell r="F765">
            <v>46404201404</v>
          </cell>
          <cell r="G765"/>
          <cell r="H765" t="str">
            <v>Трансформатор электр. 220В/12В</v>
          </cell>
          <cell r="I765" t="str">
            <v>Transformer electrical 220V/12V</v>
          </cell>
          <cell r="J765" t="str">
            <v>шт</v>
          </cell>
          <cell r="K765">
            <v>2</v>
          </cell>
          <cell r="L765"/>
          <cell r="M765" t="str">
            <v>Order</v>
          </cell>
          <cell r="N765" t="str">
            <v>Russia</v>
          </cell>
          <cell r="O765"/>
          <cell r="P765" t="str">
            <v>2 weeks</v>
          </cell>
          <cell r="Q765">
            <v>43115</v>
          </cell>
          <cell r="R765" t="str">
            <v>Трансформатор 105 Вт, NT-EH-105-EN эл.трансформ. для галог.ламп Navigator</v>
          </cell>
        </row>
        <row r="766">
          <cell r="B766">
            <v>760</v>
          </cell>
          <cell r="C766">
            <v>1</v>
          </cell>
          <cell r="D766" t="str">
            <v>Controller</v>
          </cell>
          <cell r="E766" t="str">
            <v>ММ0001699</v>
          </cell>
          <cell r="F766">
            <v>46404201405</v>
          </cell>
          <cell r="G766"/>
          <cell r="H766" t="str">
            <v>Провод ПВС 2х0,75</v>
          </cell>
          <cell r="I766" t="str">
            <v>Wiring PVS 2х0,75</v>
          </cell>
          <cell r="J766" t="str">
            <v>м</v>
          </cell>
          <cell r="K766">
            <v>2</v>
          </cell>
          <cell r="L766"/>
          <cell r="M766" t="str">
            <v>Order</v>
          </cell>
          <cell r="N766" t="str">
            <v>Russia</v>
          </cell>
          <cell r="O766"/>
          <cell r="P766" t="str">
            <v>2 weeks</v>
          </cell>
          <cell r="Q766">
            <v>43115</v>
          </cell>
          <cell r="R766" t="str">
            <v>Проводка</v>
          </cell>
        </row>
        <row r="767">
          <cell r="B767">
            <v>761</v>
          </cell>
          <cell r="C767">
            <v>1</v>
          </cell>
          <cell r="D767" t="str">
            <v>PSG</v>
          </cell>
          <cell r="E767" t="str">
            <v>ОСП0012174</v>
          </cell>
          <cell r="F767">
            <v>90451519028</v>
          </cell>
          <cell r="G767"/>
          <cell r="H767" t="str">
            <v>Ловители плавного торможения BSG-25P, k = 9 мм, for machined (B), G-03 (без корпуса)</v>
          </cell>
          <cell r="I767" t="str">
            <v>Progressive safety gear BSG-25P, k = 9 mm, for machined (B), G-03 (w/o housing)</v>
          </cell>
          <cell r="J767" t="str">
            <v>компл</v>
          </cell>
          <cell r="K767">
            <v>11</v>
          </cell>
          <cell r="L767"/>
          <cell r="M767" t="str">
            <v>Order</v>
          </cell>
          <cell r="N767" t="str">
            <v>Germany</v>
          </cell>
          <cell r="O767" t="str">
            <v>Wittur</v>
          </cell>
          <cell r="P767" t="str">
            <v>6-7 weeks</v>
          </cell>
          <cell r="Q767">
            <v>43119</v>
          </cell>
          <cell r="R767" t="str">
            <v>Для направляющих T70-1/B</v>
          </cell>
        </row>
        <row r="768">
          <cell r="B768">
            <v>762</v>
          </cell>
          <cell r="C768">
            <v>1</v>
          </cell>
          <cell r="D768" t="str">
            <v>Guide rail</v>
          </cell>
          <cell r="E768" t="str">
            <v>ОСП0005156</v>
          </cell>
          <cell r="F768">
            <v>46451508013</v>
          </cell>
          <cell r="G768"/>
          <cell r="H768" t="str">
            <v>Направляющая лифта Т70-1/В, 5,0 м</v>
          </cell>
          <cell r="I768" t="str">
            <v>Guide rail, Omutninsk, Т70-1/В, 5,0 m</v>
          </cell>
          <cell r="J768" t="str">
            <v>шт</v>
          </cell>
          <cell r="K768">
            <v>5</v>
          </cell>
          <cell r="L768"/>
          <cell r="M768" t="str">
            <v>Order</v>
          </cell>
          <cell r="N768" t="str">
            <v>Russia</v>
          </cell>
          <cell r="O768" t="str">
            <v>КЛМСС</v>
          </cell>
          <cell r="P768" t="str">
            <v>4-6 weeks</v>
          </cell>
          <cell r="Q768">
            <v>43122</v>
          </cell>
          <cell r="R768"/>
        </row>
        <row r="769">
          <cell r="B769">
            <v>763</v>
          </cell>
          <cell r="C769">
            <v>1</v>
          </cell>
          <cell r="D769" t="str">
            <v>Car</v>
          </cell>
          <cell r="E769" t="str">
            <v>ОСП0012206</v>
          </cell>
          <cell r="F769">
            <v>46451519279</v>
          </cell>
          <cell r="G769"/>
          <cell r="H769" t="str">
            <v>Кабина лифта  RRL630-RAL7032-M-2SO900L (ВК=2200, портал - SS, кам.пол)</v>
          </cell>
          <cell r="I769" t="str">
            <v>RRL630-RAL7032-M-2SO900L (CH=2200, front wall - SS, stone floor)</v>
          </cell>
          <cell r="J769" t="str">
            <v>компл</v>
          </cell>
          <cell r="K769">
            <v>9</v>
          </cell>
          <cell r="L769"/>
          <cell r="M769" t="str">
            <v>Order</v>
          </cell>
          <cell r="N769" t="str">
            <v>Russia</v>
          </cell>
          <cell r="O769" t="str">
            <v>Эталон</v>
          </cell>
          <cell r="P769" t="str">
            <v>6 weeks</v>
          </cell>
          <cell r="Q769">
            <v>43129</v>
          </cell>
          <cell r="R769"/>
        </row>
        <row r="770">
          <cell r="B770">
            <v>764</v>
          </cell>
          <cell r="C770">
            <v>1</v>
          </cell>
          <cell r="D770" t="str">
            <v>Car</v>
          </cell>
          <cell r="E770" t="str">
            <v>ОСП0012207</v>
          </cell>
          <cell r="F770">
            <v>46451519280</v>
          </cell>
          <cell r="G770"/>
          <cell r="H770" t="str">
            <v>Кабина лифта  RRL630-RAL7032-M-2SO900R (ВК=2200, портал - SS, кам.пол)</v>
          </cell>
          <cell r="I770" t="str">
            <v>RRL630-RAL7032-M-2SO900R (CH=2200, front wall - SS, stone floor)</v>
          </cell>
          <cell r="J770" t="str">
            <v>компл</v>
          </cell>
          <cell r="K770">
            <v>9</v>
          </cell>
          <cell r="L770"/>
          <cell r="M770" t="str">
            <v>Order</v>
          </cell>
          <cell r="N770" t="str">
            <v>Russia</v>
          </cell>
          <cell r="O770" t="str">
            <v>Эталон</v>
          </cell>
          <cell r="P770" t="str">
            <v>6 weeks</v>
          </cell>
          <cell r="Q770">
            <v>43129</v>
          </cell>
          <cell r="R770"/>
        </row>
        <row r="771">
          <cell r="B771">
            <v>765</v>
          </cell>
          <cell r="C771">
            <v>1</v>
          </cell>
          <cell r="D771" t="str">
            <v>Car</v>
          </cell>
          <cell r="E771" t="str">
            <v>ОСП0012208</v>
          </cell>
          <cell r="F771">
            <v>46451519281</v>
          </cell>
          <cell r="G771"/>
          <cell r="H771" t="str">
            <v>Кабина лифта RRL1000D-FF -RAL7032-M-2SO900L (ВК=2200, портал - SS, кам.пол)</v>
          </cell>
          <cell r="I771" t="str">
            <v>RRL1000D-FF -RAL7032-M-2SO900L (CH=2200, front wall - SS, stone floor)</v>
          </cell>
          <cell r="J771" t="str">
            <v>компл</v>
          </cell>
          <cell r="K771">
            <v>9</v>
          </cell>
          <cell r="L771"/>
          <cell r="M771" t="str">
            <v>Order</v>
          </cell>
          <cell r="N771" t="str">
            <v>Russia</v>
          </cell>
          <cell r="O771" t="str">
            <v>Эталон</v>
          </cell>
          <cell r="P771" t="str">
            <v>6 weeks</v>
          </cell>
          <cell r="Q771">
            <v>43129</v>
          </cell>
          <cell r="R771"/>
        </row>
        <row r="772">
          <cell r="B772">
            <v>766</v>
          </cell>
          <cell r="C772">
            <v>1</v>
          </cell>
          <cell r="D772" t="str">
            <v>Car</v>
          </cell>
          <cell r="E772" t="str">
            <v>ОСП0012209</v>
          </cell>
          <cell r="F772">
            <v>46451519282</v>
          </cell>
          <cell r="G772"/>
          <cell r="H772" t="str">
            <v>Кабина лифта RRL1000D-FF -RAL7032-M-2SO900R (ВК=2200, портал - SS, кам.пол)</v>
          </cell>
          <cell r="I772" t="str">
            <v>RRL1000D-FF -RAL7032-M-2SO900R (CH=2200, front wall - SS, stone floor)</v>
          </cell>
          <cell r="J772" t="str">
            <v>компл</v>
          </cell>
          <cell r="K772">
            <v>9</v>
          </cell>
          <cell r="L772"/>
          <cell r="M772" t="str">
            <v>Order</v>
          </cell>
          <cell r="N772" t="str">
            <v>Russia</v>
          </cell>
          <cell r="O772" t="str">
            <v>Эталон</v>
          </cell>
          <cell r="P772" t="str">
            <v>6 weeks</v>
          </cell>
          <cell r="Q772">
            <v>43129</v>
          </cell>
          <cell r="R772"/>
        </row>
        <row r="773">
          <cell r="B773">
            <v>767</v>
          </cell>
          <cell r="C773">
            <v>1</v>
          </cell>
          <cell r="D773" t="str">
            <v>Car</v>
          </cell>
          <cell r="E773" t="str">
            <v>ОСП0012210</v>
          </cell>
          <cell r="F773">
            <v>46451519283</v>
          </cell>
          <cell r="G773"/>
          <cell r="H773" t="str">
            <v>Кабина лифта RRL1000W-FF-RAL7032-M-2SO1200L (ВК=2200, портал - SS, кам.пол)</v>
          </cell>
          <cell r="I773" t="str">
            <v>Car RRL1000W-FF-RAL7032-M-2SO1200L (CH=2200, front wall - SS, stone floor)</v>
          </cell>
          <cell r="J773" t="str">
            <v>компл</v>
          </cell>
          <cell r="K773">
            <v>9</v>
          </cell>
          <cell r="L773"/>
          <cell r="M773" t="str">
            <v>Order</v>
          </cell>
          <cell r="N773" t="str">
            <v>Russia</v>
          </cell>
          <cell r="O773" t="str">
            <v>Эталон</v>
          </cell>
          <cell r="P773" t="str">
            <v>6 weeks</v>
          </cell>
          <cell r="Q773">
            <v>43129</v>
          </cell>
          <cell r="R773"/>
        </row>
        <row r="774">
          <cell r="B774">
            <v>768</v>
          </cell>
          <cell r="C774">
            <v>1</v>
          </cell>
          <cell r="D774" t="str">
            <v>Car</v>
          </cell>
          <cell r="E774" t="str">
            <v>ОСП0012211</v>
          </cell>
          <cell r="F774">
            <v>46451519284</v>
          </cell>
          <cell r="G774"/>
          <cell r="H774" t="str">
            <v>Кабина лифта RRL1000W-FF-RAL7032-M-2SO1200R (ВК=2200, портал - SS, кам.пол)</v>
          </cell>
          <cell r="I774" t="str">
            <v>Car RRL1000W-FF-RAL7032-M-2SO1200R (CH=2200, front wall - SS, stone floor)</v>
          </cell>
          <cell r="J774" t="str">
            <v>компл</v>
          </cell>
          <cell r="K774">
            <v>9</v>
          </cell>
          <cell r="L774"/>
          <cell r="M774" t="str">
            <v>Order</v>
          </cell>
          <cell r="N774" t="str">
            <v>Russia</v>
          </cell>
          <cell r="O774" t="str">
            <v>Эталон</v>
          </cell>
          <cell r="P774" t="str">
            <v>6 weeks</v>
          </cell>
          <cell r="Q774">
            <v>43129</v>
          </cell>
          <cell r="R774"/>
        </row>
        <row r="775">
          <cell r="B775">
            <v>769</v>
          </cell>
          <cell r="C775">
            <v>1</v>
          </cell>
          <cell r="D775" t="str">
            <v>Fixation</v>
          </cell>
          <cell r="E775" t="str">
            <v>ОСП0012553</v>
          </cell>
          <cell r="F775">
            <v>46452404038</v>
          </cell>
          <cell r="G775"/>
          <cell r="H775" t="str">
            <v>Картридж BIT-PE 300 мл (пустотелый кирпич, поризованная керамика)</v>
          </cell>
          <cell r="I775" t="str">
            <v>Cartridge BIT-PE 300 ml (hollow brick, porous ceramic)</v>
          </cell>
          <cell r="J775" t="str">
            <v>шт</v>
          </cell>
          <cell r="K775">
            <v>4</v>
          </cell>
          <cell r="L775"/>
          <cell r="M775" t="str">
            <v>Order</v>
          </cell>
          <cell r="N775" t="str">
            <v>Russia</v>
          </cell>
          <cell r="O775"/>
          <cell r="P775" t="str">
            <v>2 weeks</v>
          </cell>
          <cell r="Q775">
            <v>43209</v>
          </cell>
          <cell r="R775"/>
        </row>
        <row r="776">
          <cell r="B776">
            <v>770</v>
          </cell>
          <cell r="C776">
            <v>1</v>
          </cell>
          <cell r="D776" t="str">
            <v>Fixation</v>
          </cell>
          <cell r="E776" t="str">
            <v>ОСП0012553</v>
          </cell>
          <cell r="F776">
            <v>46452404038</v>
          </cell>
          <cell r="G776"/>
          <cell r="H776" t="str">
            <v>Картридж BIT-PE 300 мл (пустотелый кирпич, поризованная керамика)</v>
          </cell>
          <cell r="I776" t="str">
            <v>Cartridge BIT-PE 300 ml (hollow brick, porous ceramic)</v>
          </cell>
          <cell r="J776" t="str">
            <v>шт</v>
          </cell>
          <cell r="K776">
            <v>14</v>
          </cell>
          <cell r="L776"/>
          <cell r="M776" t="str">
            <v>Order</v>
          </cell>
          <cell r="N776" t="str">
            <v>Russia</v>
          </cell>
          <cell r="O776"/>
          <cell r="P776" t="str">
            <v>2 weeks</v>
          </cell>
          <cell r="Q776">
            <v>43209</v>
          </cell>
          <cell r="R776"/>
        </row>
        <row r="777">
          <cell r="B777">
            <v>771</v>
          </cell>
          <cell r="C777">
            <v>1</v>
          </cell>
          <cell r="D777" t="str">
            <v>Fixation</v>
          </cell>
          <cell r="E777" t="str">
            <v>ОСП0012554</v>
          </cell>
          <cell r="F777">
            <v>46452404039</v>
          </cell>
          <cell r="G777"/>
          <cell r="H777" t="str">
            <v>Металлическая сетчатая гильза BIT-MS 16x1000 (цинк)</v>
          </cell>
          <cell r="I777" t="str">
            <v>Metal mesh sleeve BIT-MS 16x1000 (zinc)</v>
          </cell>
          <cell r="J777" t="str">
            <v>шт</v>
          </cell>
          <cell r="K777">
            <v>4</v>
          </cell>
          <cell r="L777"/>
          <cell r="M777" t="str">
            <v>Order</v>
          </cell>
          <cell r="N777" t="str">
            <v>Russia</v>
          </cell>
          <cell r="O777"/>
          <cell r="P777" t="str">
            <v>2 weeks</v>
          </cell>
          <cell r="Q777">
            <v>43209</v>
          </cell>
          <cell r="R777"/>
        </row>
        <row r="778">
          <cell r="B778">
            <v>772</v>
          </cell>
          <cell r="C778">
            <v>1</v>
          </cell>
          <cell r="D778" t="str">
            <v>Fixation</v>
          </cell>
          <cell r="E778" t="str">
            <v>ОСП0012554</v>
          </cell>
          <cell r="F778">
            <v>46452404039</v>
          </cell>
          <cell r="G778"/>
          <cell r="H778" t="str">
            <v>Металлическая сетчатая гильза BIT-MS 16x1000 (цинк)</v>
          </cell>
          <cell r="I778" t="str">
            <v>Metal mesh sleeve BIT-MS 16x1000 (zinc)</v>
          </cell>
          <cell r="J778" t="str">
            <v>шт</v>
          </cell>
          <cell r="K778">
            <v>14</v>
          </cell>
          <cell r="L778"/>
          <cell r="M778" t="str">
            <v>Order</v>
          </cell>
          <cell r="N778" t="str">
            <v>Russia</v>
          </cell>
          <cell r="O778"/>
          <cell r="P778" t="str">
            <v>2 weeks</v>
          </cell>
          <cell r="Q778">
            <v>43209</v>
          </cell>
          <cell r="R778"/>
        </row>
        <row r="779">
          <cell r="B779">
            <v>773</v>
          </cell>
          <cell r="C779">
            <v>1</v>
          </cell>
          <cell r="D779" t="str">
            <v>Car</v>
          </cell>
          <cell r="E779" t="str">
            <v>ОСП0012562</v>
          </cell>
          <cell r="F779">
            <v>46451519285</v>
          </cell>
          <cell r="G779"/>
          <cell r="H779" t="str">
            <v>Кабина лифта RRL1000D-SS-M-2CO900 (смещ 50 вправо, CW+130)</v>
          </cell>
          <cell r="I779" t="str">
            <v>RRL1000D-SS-M-2CO900 (offset 50 right, CW+130)</v>
          </cell>
          <cell r="J779" t="str">
            <v>компл</v>
          </cell>
          <cell r="K779">
            <v>9</v>
          </cell>
          <cell r="L779"/>
          <cell r="M779" t="str">
            <v>Order</v>
          </cell>
          <cell r="N779" t="str">
            <v>Russia</v>
          </cell>
          <cell r="O779" t="str">
            <v>Эталон</v>
          </cell>
          <cell r="P779" t="str">
            <v>6 weeks</v>
          </cell>
          <cell r="Q779">
            <v>43213</v>
          </cell>
          <cell r="R779"/>
        </row>
        <row r="780">
          <cell r="B780">
            <v>774</v>
          </cell>
          <cell r="C780">
            <v>1</v>
          </cell>
          <cell r="D780" t="str">
            <v>Car</v>
          </cell>
          <cell r="E780" t="str">
            <v>ОСП0012563</v>
          </cell>
          <cell r="F780">
            <v>46451519286</v>
          </cell>
          <cell r="G780"/>
          <cell r="H780" t="str">
            <v>Кабина лифта RRL1000D-SS-M-2SO900R (CW+130)</v>
          </cell>
          <cell r="I780" t="str">
            <v>RRL1000D-SS-M-2SO900R (CW+130)</v>
          </cell>
          <cell r="J780" t="str">
            <v>компл</v>
          </cell>
          <cell r="K780">
            <v>9</v>
          </cell>
          <cell r="L780"/>
          <cell r="M780" t="str">
            <v>Order</v>
          </cell>
          <cell r="N780" t="str">
            <v>Russia</v>
          </cell>
          <cell r="O780" t="str">
            <v>Эталон</v>
          </cell>
          <cell r="P780" t="str">
            <v>6 weeks</v>
          </cell>
          <cell r="Q780">
            <v>43213</v>
          </cell>
          <cell r="R780"/>
        </row>
        <row r="781">
          <cell r="B781">
            <v>775</v>
          </cell>
          <cell r="C781">
            <v>1</v>
          </cell>
          <cell r="D781" t="str">
            <v>Bracket</v>
          </cell>
          <cell r="E781" t="str">
            <v>ОСП0012565</v>
          </cell>
          <cell r="F781">
            <v>46456606060</v>
          </cell>
          <cell r="G781" t="str">
            <v>60114601800_00</v>
          </cell>
          <cell r="H781" t="str">
            <v>Кронштейн направляющей T90 / T50 (соосный), 305-380 мм</v>
          </cell>
          <cell r="I781" t="str">
            <v>GR bracket T90 / T50 (coaxial), 305-380 mm</v>
          </cell>
          <cell r="J781" t="str">
            <v>компл</v>
          </cell>
          <cell r="K781">
            <v>3</v>
          </cell>
          <cell r="L781"/>
          <cell r="M781" t="str">
            <v>Order</v>
          </cell>
          <cell r="N781" t="str">
            <v>Russia</v>
          </cell>
          <cell r="O781" t="str">
            <v>Эталон</v>
          </cell>
          <cell r="P781" t="str">
            <v>4 weeks</v>
          </cell>
          <cell r="Q781">
            <v>43213</v>
          </cell>
          <cell r="R781"/>
        </row>
        <row r="782">
          <cell r="B782">
            <v>776</v>
          </cell>
          <cell r="C782">
            <v>1</v>
          </cell>
          <cell r="D782" t="str">
            <v>Car</v>
          </cell>
          <cell r="E782" t="str">
            <v>ОСП0012603</v>
          </cell>
          <cell r="F782">
            <v>46451519287</v>
          </cell>
          <cell r="G782"/>
          <cell r="H782" t="str">
            <v>Кабина лифта RRL1000D-FF-SS-M-2CO800 (CW+130, смещ 50 влево)</v>
          </cell>
          <cell r="I782" t="str">
            <v>RRL1000D-FF-SS-M-2CO800 (CW+130, offset 50 left)</v>
          </cell>
          <cell r="J782" t="str">
            <v>компл</v>
          </cell>
          <cell r="K782">
            <v>9</v>
          </cell>
          <cell r="L782"/>
          <cell r="M782" t="str">
            <v>Order</v>
          </cell>
          <cell r="N782" t="str">
            <v>Russia</v>
          </cell>
          <cell r="O782" t="str">
            <v>Эталон</v>
          </cell>
          <cell r="P782" t="str">
            <v>6 weeks</v>
          </cell>
          <cell r="Q782">
            <v>43217</v>
          </cell>
          <cell r="R782"/>
        </row>
        <row r="783">
          <cell r="B783">
            <v>777</v>
          </cell>
          <cell r="C783">
            <v>1</v>
          </cell>
          <cell r="D783" t="str">
            <v>Car</v>
          </cell>
          <cell r="E783" t="str">
            <v>ОСП0012604</v>
          </cell>
          <cell r="F783">
            <v>46451519288</v>
          </cell>
          <cell r="G783"/>
          <cell r="H783" t="str">
            <v>Кабина лифта RRL1000D-SS-M-2CO800 (CW+130, смещ 50 вправо)</v>
          </cell>
          <cell r="I783" t="str">
            <v>RRL1000D-SS-M-2CO800 (CW+130, offset 50 right)</v>
          </cell>
          <cell r="J783" t="str">
            <v>компл</v>
          </cell>
          <cell r="K783">
            <v>9</v>
          </cell>
          <cell r="L783"/>
          <cell r="M783" t="str">
            <v>Order</v>
          </cell>
          <cell r="N783" t="str">
            <v>Russia</v>
          </cell>
          <cell r="O783" t="str">
            <v>Эталон</v>
          </cell>
          <cell r="P783" t="str">
            <v>6 weeks</v>
          </cell>
          <cell r="Q783">
            <v>43217</v>
          </cell>
          <cell r="R783"/>
        </row>
        <row r="784">
          <cell r="B784">
            <v>778</v>
          </cell>
          <cell r="C784">
            <v>1</v>
          </cell>
          <cell r="D784" t="str">
            <v>Door</v>
          </cell>
          <cell r="E784" t="str">
            <v>ОСП0012666</v>
          </cell>
          <cell r="F784">
            <v>59451511088</v>
          </cell>
          <cell r="G784"/>
          <cell r="H784" t="str">
            <v>Дверь шахты Fermator 40/10 2CO-900-2000C-EI60-SS</v>
          </cell>
          <cell r="I784" t="str">
            <v>Landing door Fermator 40/10 2CO-900-2000C-EI60-SS</v>
          </cell>
          <cell r="J784" t="str">
            <v>шт</v>
          </cell>
          <cell r="K784">
            <v>13</v>
          </cell>
          <cell r="L784"/>
          <cell r="M784" t="str">
            <v>Order</v>
          </cell>
          <cell r="N784" t="str">
            <v>Poland</v>
          </cell>
          <cell r="O784" t="str">
            <v>Enginova</v>
          </cell>
          <cell r="P784" t="str">
            <v>5-8 weeks</v>
          </cell>
          <cell r="Q784">
            <v>43236</v>
          </cell>
          <cell r="R784"/>
        </row>
        <row r="785">
          <cell r="B785">
            <v>779</v>
          </cell>
          <cell r="C785">
            <v>1</v>
          </cell>
          <cell r="D785" t="str">
            <v>Door</v>
          </cell>
          <cell r="E785" t="str">
            <v>ОСП0012667</v>
          </cell>
          <cell r="F785">
            <v>46451511088</v>
          </cell>
          <cell r="G785"/>
          <cell r="H785" t="str">
            <v>Дверь шахты ТЛДШ 20.14 2СO-900-2000С-EI60-SS</v>
          </cell>
          <cell r="I785" t="str">
            <v>Landing door ТЛДШ 20.14 2СO-900-2000С-EI60-SS</v>
          </cell>
          <cell r="J785" t="str">
            <v>шт</v>
          </cell>
          <cell r="K785">
            <v>13</v>
          </cell>
          <cell r="L785"/>
          <cell r="M785" t="str">
            <v>Order</v>
          </cell>
          <cell r="N785" t="str">
            <v>Russia</v>
          </cell>
          <cell r="O785" t="str">
            <v>Тула Лифт</v>
          </cell>
          <cell r="P785" t="str">
            <v>8 weeks</v>
          </cell>
          <cell r="Q785">
            <v>43236</v>
          </cell>
          <cell r="R785"/>
        </row>
        <row r="786">
          <cell r="B786">
            <v>780</v>
          </cell>
          <cell r="C786">
            <v>1</v>
          </cell>
          <cell r="D786" t="str">
            <v>Door</v>
          </cell>
          <cell r="E786" t="str">
            <v>ОСП0012668</v>
          </cell>
          <cell r="F786">
            <v>59451511089</v>
          </cell>
          <cell r="G786"/>
          <cell r="H786" t="str">
            <v>Дверь кабины Fermator Premium PM 2СO-900-2000С-SS</v>
          </cell>
          <cell r="I786" t="str">
            <v>Car door Fermator Premium PM 2СO-900-2000С-SS</v>
          </cell>
          <cell r="J786" t="str">
            <v>шт</v>
          </cell>
          <cell r="K786">
            <v>16</v>
          </cell>
          <cell r="L786"/>
          <cell r="M786" t="str">
            <v>Order</v>
          </cell>
          <cell r="N786" t="str">
            <v>Poland</v>
          </cell>
          <cell r="O786" t="str">
            <v>Enginova</v>
          </cell>
          <cell r="P786" t="str">
            <v>5-8 weeks</v>
          </cell>
          <cell r="Q786">
            <v>43236</v>
          </cell>
          <cell r="R786"/>
        </row>
        <row r="787">
          <cell r="B787">
            <v>781</v>
          </cell>
          <cell r="C787">
            <v>1</v>
          </cell>
          <cell r="D787" t="str">
            <v>Car</v>
          </cell>
          <cell r="E787" t="str">
            <v>ОСП0012865</v>
          </cell>
          <cell r="F787">
            <v>46451519289</v>
          </cell>
          <cell r="G787"/>
          <cell r="H787" t="str">
            <v>Кабина лифта  RRL630-SS-M-2SO900L (Лён)</v>
          </cell>
          <cell r="I787" t="str">
            <v>RRL630-SS-M-2SO900L (Linen)</v>
          </cell>
          <cell r="J787" t="str">
            <v>компл</v>
          </cell>
          <cell r="K787">
            <v>9</v>
          </cell>
          <cell r="L787"/>
          <cell r="M787" t="str">
            <v>Order</v>
          </cell>
          <cell r="N787" t="str">
            <v>Russia</v>
          </cell>
          <cell r="O787" t="str">
            <v>Эталон</v>
          </cell>
          <cell r="P787" t="str">
            <v>6 weeks</v>
          </cell>
          <cell r="Q787">
            <v>43271</v>
          </cell>
          <cell r="R787" t="str">
            <v>Copied from id357</v>
          </cell>
        </row>
        <row r="788">
          <cell r="B788">
            <v>782</v>
          </cell>
          <cell r="C788">
            <v>1</v>
          </cell>
          <cell r="D788" t="str">
            <v>Car</v>
          </cell>
          <cell r="E788" t="str">
            <v>ОСП0012872</v>
          </cell>
          <cell r="F788">
            <v>46451519290</v>
          </cell>
          <cell r="G788"/>
          <cell r="H788" t="str">
            <v>Кабина лифта  RRL630-SS-M-2SO900R (кам. пол)</v>
          </cell>
          <cell r="I788" t="str">
            <v>RRL630-SS-M-2SO900R (stone floor)</v>
          </cell>
          <cell r="J788" t="str">
            <v>компл</v>
          </cell>
          <cell r="K788">
            <v>9</v>
          </cell>
          <cell r="L788"/>
          <cell r="M788" t="str">
            <v>Order</v>
          </cell>
          <cell r="N788" t="str">
            <v>Russia</v>
          </cell>
          <cell r="O788" t="str">
            <v>Эталон</v>
          </cell>
          <cell r="P788" t="str">
            <v>6 weeks</v>
          </cell>
          <cell r="Q788">
            <v>43272</v>
          </cell>
          <cell r="R788" t="str">
            <v>Copied from id358</v>
          </cell>
        </row>
        <row r="789">
          <cell r="B789">
            <v>783</v>
          </cell>
          <cell r="C789">
            <v>1</v>
          </cell>
          <cell r="D789" t="str">
            <v>Car</v>
          </cell>
          <cell r="E789" t="str">
            <v>ОСП0012875</v>
          </cell>
          <cell r="F789">
            <v>46451519291</v>
          </cell>
          <cell r="G789"/>
          <cell r="H789" t="str">
            <v>Кабина лифта  RRL630-SS-M-2SO900R (Лён)</v>
          </cell>
          <cell r="I789" t="str">
            <v>RRL630-SS-M-2SO900R (Linen)</v>
          </cell>
          <cell r="J789" t="str">
            <v>компл</v>
          </cell>
          <cell r="K789">
            <v>9</v>
          </cell>
          <cell r="L789"/>
          <cell r="M789" t="str">
            <v>Order</v>
          </cell>
          <cell r="N789" t="str">
            <v>Russia</v>
          </cell>
          <cell r="O789" t="str">
            <v>Эталон</v>
          </cell>
          <cell r="P789" t="str">
            <v>6 weeks</v>
          </cell>
          <cell r="Q789">
            <v>43273</v>
          </cell>
          <cell r="R789" t="str">
            <v>Copied from id358</v>
          </cell>
        </row>
        <row r="790">
          <cell r="B790">
            <v>784</v>
          </cell>
          <cell r="C790">
            <v>1</v>
          </cell>
          <cell r="D790" t="str">
            <v>Car</v>
          </cell>
          <cell r="E790" t="str">
            <v>ОСП0012876</v>
          </cell>
          <cell r="F790">
            <v>46451519292</v>
          </cell>
          <cell r="G790"/>
          <cell r="H790" t="str">
            <v>Кабина лифта RRL1000W-FF-SS-M-2SO1200R (Лён)</v>
          </cell>
          <cell r="I790" t="str">
            <v>RRL1000W-FF-SS-M-2SO1200R (Linen)</v>
          </cell>
          <cell r="J790" t="str">
            <v>компл</v>
          </cell>
          <cell r="K790">
            <v>9</v>
          </cell>
          <cell r="L790"/>
          <cell r="M790" t="str">
            <v>Order</v>
          </cell>
          <cell r="N790" t="str">
            <v>Russia</v>
          </cell>
          <cell r="O790" t="str">
            <v>Эталон</v>
          </cell>
          <cell r="P790" t="str">
            <v>6 weeks</v>
          </cell>
          <cell r="Q790">
            <v>43273</v>
          </cell>
          <cell r="R790" t="str">
            <v>Copied from id373</v>
          </cell>
        </row>
        <row r="791">
          <cell r="B791">
            <v>785</v>
          </cell>
          <cell r="C791">
            <v>1</v>
          </cell>
          <cell r="D791" t="str">
            <v>Door</v>
          </cell>
          <cell r="E791" t="str">
            <v>ОСП0012881</v>
          </cell>
          <cell r="F791">
            <v>69451511001</v>
          </cell>
          <cell r="G791" t="str">
            <v>03.G5.B174.TK4</v>
          </cell>
          <cell r="H791" t="str">
            <v>Датчик фотоэлектр. WECO 03.G5 36 диодов, 174 луча</v>
          </cell>
          <cell r="I791" t="str">
            <v>Photoelectric sensor WECO 03.G5 36 diodes, 174 beams</v>
          </cell>
          <cell r="J791" t="str">
            <v>компл</v>
          </cell>
          <cell r="K791">
            <v>16</v>
          </cell>
          <cell r="L791"/>
          <cell r="M791" t="str">
            <v>Stock</v>
          </cell>
          <cell r="N791" t="str">
            <v>China</v>
          </cell>
          <cell r="O791" t="str">
            <v>WECO Optoelectronic Co. Ltd.</v>
          </cell>
          <cell r="P791" t="str">
            <v>5-8 weeks</v>
          </cell>
          <cell r="Q791">
            <v>43277</v>
          </cell>
          <cell r="R791" t="str">
            <v>Световая завеса</v>
          </cell>
        </row>
        <row r="792">
          <cell r="B792">
            <v>786</v>
          </cell>
          <cell r="C792">
            <v>1</v>
          </cell>
          <cell r="D792" t="str">
            <v>Door</v>
          </cell>
          <cell r="E792" t="str">
            <v>ОСП0012882</v>
          </cell>
          <cell r="F792">
            <v>69451511002</v>
          </cell>
          <cell r="G792" t="str">
            <v>03.G5.UF.R24.25C</v>
          </cell>
          <cell r="H792" t="str">
            <v>Кабель удлинительный WECO 03.G5.UF.R24, 2,5 м</v>
          </cell>
          <cell r="I792" t="str">
            <v>Extension cable WECO WECO 03.G5.UF.R24, 2,5 m</v>
          </cell>
          <cell r="J792" t="str">
            <v>компл</v>
          </cell>
          <cell r="K792">
            <v>16</v>
          </cell>
          <cell r="L792"/>
          <cell r="M792" t="str">
            <v>Stock</v>
          </cell>
          <cell r="N792" t="str">
            <v>China</v>
          </cell>
          <cell r="O792" t="str">
            <v>WECO Optoelectronic Co. Ltd.</v>
          </cell>
          <cell r="P792" t="str">
            <v>5-8 weeks</v>
          </cell>
          <cell r="Q792">
            <v>43277</v>
          </cell>
          <cell r="R792" t="str">
            <v>Удлинительный кабель для световой завесы ОСП0012881</v>
          </cell>
        </row>
        <row r="793">
          <cell r="B793">
            <v>787</v>
          </cell>
          <cell r="C793">
            <v>1</v>
          </cell>
          <cell r="D793" t="str">
            <v>Door</v>
          </cell>
          <cell r="E793" t="str">
            <v>ОСП0012883</v>
          </cell>
          <cell r="F793">
            <v>69451511003</v>
          </cell>
          <cell r="G793" t="str">
            <v>03.CLP.BTM</v>
          </cell>
          <cell r="H793" t="str">
            <v>Фиксационные зажимы WECO 03.CLP.BTM</v>
          </cell>
          <cell r="I793" t="str">
            <v>Fixing clips 03.CLP.BTM</v>
          </cell>
          <cell r="J793" t="str">
            <v>компл</v>
          </cell>
          <cell r="K793">
            <v>16</v>
          </cell>
          <cell r="L793"/>
          <cell r="M793" t="str">
            <v>Stock</v>
          </cell>
          <cell r="N793" t="str">
            <v>China</v>
          </cell>
          <cell r="O793" t="str">
            <v>WECO Optoelectronic Co. Ltd.</v>
          </cell>
          <cell r="P793" t="str">
            <v>5-8 weeks</v>
          </cell>
          <cell r="Q793">
            <v>43277</v>
          </cell>
          <cell r="R793" t="str">
            <v>Фиксационные зажимы для световой завесы ОСП0012881. В комплекте 3 штуки и крепёж.</v>
          </cell>
        </row>
        <row r="794">
          <cell r="B794">
            <v>788</v>
          </cell>
          <cell r="C794">
            <v>1</v>
          </cell>
          <cell r="D794" t="str">
            <v>Bracket</v>
          </cell>
          <cell r="E794" t="str">
            <v>ОСП0012791</v>
          </cell>
          <cell r="F794"/>
          <cell r="G794" t="str">
            <v>6011S001100_00</v>
          </cell>
          <cell r="H794" t="str">
            <v>Кронштейн направляющей T90, 60-105 мм</v>
          </cell>
          <cell r="I794" t="str">
            <v>GR bracket T90, 60-105 mm</v>
          </cell>
          <cell r="J794" t="str">
            <v>шт</v>
          </cell>
          <cell r="K794"/>
          <cell r="L794"/>
          <cell r="M794" t="str">
            <v>Order</v>
          </cell>
          <cell r="N794" t="str">
            <v>Russia</v>
          </cell>
          <cell r="O794" t="str">
            <v>Сервис-НГТ</v>
          </cell>
          <cell r="P794" t="str">
            <v>4 weeks</v>
          </cell>
          <cell r="Q794">
            <v>43284</v>
          </cell>
          <cell r="R794"/>
        </row>
        <row r="795">
          <cell r="B795">
            <v>789</v>
          </cell>
          <cell r="C795">
            <v>1</v>
          </cell>
          <cell r="D795" t="str">
            <v>Bracket</v>
          </cell>
          <cell r="E795" t="str">
            <v>ОСП0012959</v>
          </cell>
          <cell r="F795">
            <v>46456606061</v>
          </cell>
          <cell r="G795" t="str">
            <v>60114601200_00</v>
          </cell>
          <cell r="H795" t="str">
            <v>Кронштейн направляющей T70, 55-125 мм</v>
          </cell>
          <cell r="I795" t="str">
            <v>GR bracket T70, 55-125 mm</v>
          </cell>
          <cell r="J795" t="str">
            <v>компл</v>
          </cell>
          <cell r="K795">
            <v>3</v>
          </cell>
          <cell r="L795"/>
          <cell r="M795" t="str">
            <v>Order</v>
          </cell>
          <cell r="N795" t="str">
            <v>Russia</v>
          </cell>
          <cell r="O795" t="str">
            <v>Сервис-НГТ</v>
          </cell>
          <cell r="P795" t="str">
            <v>4 weeks</v>
          </cell>
          <cell r="Q795">
            <v>43290</v>
          </cell>
          <cell r="R795"/>
        </row>
        <row r="796">
          <cell r="B796">
            <v>790</v>
          </cell>
          <cell r="C796">
            <v>1</v>
          </cell>
          <cell r="D796" t="str">
            <v>Bracket</v>
          </cell>
          <cell r="E796" t="str">
            <v>ОСП0012960</v>
          </cell>
          <cell r="F796">
            <v>46456606062</v>
          </cell>
          <cell r="G796" t="str">
            <v>60114601200_00</v>
          </cell>
          <cell r="H796" t="str">
            <v>Кронштейн направляющей T90, 55-125 мм</v>
          </cell>
          <cell r="I796" t="str">
            <v>GR bracket T90, 55-125 mm</v>
          </cell>
          <cell r="J796" t="str">
            <v>компл</v>
          </cell>
          <cell r="K796">
            <v>3</v>
          </cell>
          <cell r="L796"/>
          <cell r="M796" t="str">
            <v>Order</v>
          </cell>
          <cell r="N796" t="str">
            <v>Russia</v>
          </cell>
          <cell r="O796" t="str">
            <v>Сервис-НГТ</v>
          </cell>
          <cell r="P796" t="str">
            <v>4 weeks</v>
          </cell>
          <cell r="Q796">
            <v>43290</v>
          </cell>
          <cell r="R796"/>
        </row>
        <row r="797">
          <cell r="B797">
            <v>791</v>
          </cell>
          <cell r="C797">
            <v>1</v>
          </cell>
          <cell r="D797" t="str">
            <v>Bracket</v>
          </cell>
          <cell r="E797" t="str">
            <v>ОСП0012961</v>
          </cell>
          <cell r="F797">
            <v>46456606063</v>
          </cell>
          <cell r="G797" t="str">
            <v>60114601300_00</v>
          </cell>
          <cell r="H797" t="str">
            <v>Кронштейн направляющей T70, 75-205 мм</v>
          </cell>
          <cell r="I797" t="str">
            <v>GR bracket T70, 75-205 mm</v>
          </cell>
          <cell r="J797" t="str">
            <v>компл</v>
          </cell>
          <cell r="K797">
            <v>3</v>
          </cell>
          <cell r="L797"/>
          <cell r="M797" t="str">
            <v>Order</v>
          </cell>
          <cell r="N797" t="str">
            <v>Russia</v>
          </cell>
          <cell r="O797" t="str">
            <v>Сервис-НГТ</v>
          </cell>
          <cell r="P797" t="str">
            <v>4 weeks</v>
          </cell>
          <cell r="Q797">
            <v>43290</v>
          </cell>
          <cell r="R797"/>
        </row>
        <row r="798">
          <cell r="B798">
            <v>792</v>
          </cell>
          <cell r="C798">
            <v>1</v>
          </cell>
          <cell r="D798" t="str">
            <v>Bracket</v>
          </cell>
          <cell r="E798" t="str">
            <v>ОСП0012962</v>
          </cell>
          <cell r="F798">
            <v>46456606064</v>
          </cell>
          <cell r="G798" t="str">
            <v>60114601300_00</v>
          </cell>
          <cell r="H798" t="str">
            <v>Кронштейн направляющей T90, 75-205 мм</v>
          </cell>
          <cell r="I798" t="str">
            <v>GR bracket T90, 75-205 mm</v>
          </cell>
          <cell r="J798" t="str">
            <v>компл</v>
          </cell>
          <cell r="K798">
            <v>3</v>
          </cell>
          <cell r="L798"/>
          <cell r="M798" t="str">
            <v>Order</v>
          </cell>
          <cell r="N798" t="str">
            <v>Russia</v>
          </cell>
          <cell r="O798" t="str">
            <v>Сервис-НГТ</v>
          </cell>
          <cell r="P798" t="str">
            <v>4 weeks</v>
          </cell>
          <cell r="Q798">
            <v>43290</v>
          </cell>
          <cell r="R798"/>
        </row>
        <row r="799">
          <cell r="B799">
            <v>793</v>
          </cell>
          <cell r="C799">
            <v>1</v>
          </cell>
          <cell r="D799" t="str">
            <v>Bracket</v>
          </cell>
          <cell r="E799" t="str">
            <v>ОСП0012963</v>
          </cell>
          <cell r="F799">
            <v>46456606065</v>
          </cell>
          <cell r="G799" t="str">
            <v>60114601400_00</v>
          </cell>
          <cell r="H799" t="str">
            <v>Кронштейн направляющей T70, 155-315 мм</v>
          </cell>
          <cell r="I799" t="str">
            <v>GR bracket T70, 155-315 mm</v>
          </cell>
          <cell r="J799" t="str">
            <v>компл</v>
          </cell>
          <cell r="K799">
            <v>3</v>
          </cell>
          <cell r="L799"/>
          <cell r="M799" t="str">
            <v>Order</v>
          </cell>
          <cell r="N799" t="str">
            <v>Russia</v>
          </cell>
          <cell r="O799" t="str">
            <v>Сервис-НГТ</v>
          </cell>
          <cell r="P799" t="str">
            <v>4 weeks</v>
          </cell>
          <cell r="Q799">
            <v>43290</v>
          </cell>
          <cell r="R799"/>
        </row>
        <row r="800">
          <cell r="B800">
            <v>794</v>
          </cell>
          <cell r="C800">
            <v>1</v>
          </cell>
          <cell r="D800" t="str">
            <v>Bracket</v>
          </cell>
          <cell r="E800" t="str">
            <v>ОСП0012964</v>
          </cell>
          <cell r="F800">
            <v>46456606066</v>
          </cell>
          <cell r="G800" t="str">
            <v>60114601400_00</v>
          </cell>
          <cell r="H800" t="str">
            <v>Кронштейн направляющей T90, 155-315 мм</v>
          </cell>
          <cell r="I800" t="str">
            <v>GR bracket T90, 155-315 mm</v>
          </cell>
          <cell r="J800" t="str">
            <v>компл</v>
          </cell>
          <cell r="K800">
            <v>3</v>
          </cell>
          <cell r="L800"/>
          <cell r="M800" t="str">
            <v>Order</v>
          </cell>
          <cell r="N800" t="str">
            <v>Russia</v>
          </cell>
          <cell r="O800" t="str">
            <v>Сервис-НГТ</v>
          </cell>
          <cell r="P800" t="str">
            <v>4 weeks</v>
          </cell>
          <cell r="Q800">
            <v>43290</v>
          </cell>
          <cell r="R800"/>
        </row>
        <row r="801">
          <cell r="B801">
            <v>795</v>
          </cell>
          <cell r="C801">
            <v>1</v>
          </cell>
          <cell r="D801" t="str">
            <v>Bracket</v>
          </cell>
          <cell r="E801" t="str">
            <v>ОСП0012965</v>
          </cell>
          <cell r="F801">
            <v>46456606067</v>
          </cell>
          <cell r="G801" t="str">
            <v>60114601600_00</v>
          </cell>
          <cell r="H801" t="str">
            <v>Кронштейн направляющей T70, 215-385 мм</v>
          </cell>
          <cell r="I801" t="str">
            <v>GR bracket T70, 215-385 mm</v>
          </cell>
          <cell r="J801" t="str">
            <v>компл</v>
          </cell>
          <cell r="K801">
            <v>3</v>
          </cell>
          <cell r="L801"/>
          <cell r="M801" t="str">
            <v>Order</v>
          </cell>
          <cell r="N801" t="str">
            <v>Russia</v>
          </cell>
          <cell r="O801" t="str">
            <v>Сервис-НГТ</v>
          </cell>
          <cell r="P801" t="str">
            <v>4 weeks</v>
          </cell>
          <cell r="Q801">
            <v>43290</v>
          </cell>
          <cell r="R801"/>
        </row>
        <row r="802">
          <cell r="B802">
            <v>796</v>
          </cell>
          <cell r="C802">
            <v>1</v>
          </cell>
          <cell r="D802" t="str">
            <v>Bracket</v>
          </cell>
          <cell r="E802" t="str">
            <v>ОСП0012966</v>
          </cell>
          <cell r="F802">
            <v>46456606068</v>
          </cell>
          <cell r="G802" t="str">
            <v>60114601600_00</v>
          </cell>
          <cell r="H802" t="str">
            <v>Кронштейн направляющей T90, 215-385 мм</v>
          </cell>
          <cell r="I802" t="str">
            <v>GR bracket T90, 215-385 mm</v>
          </cell>
          <cell r="J802" t="str">
            <v>компл</v>
          </cell>
          <cell r="K802">
            <v>3</v>
          </cell>
          <cell r="L802"/>
          <cell r="M802" t="str">
            <v>Order</v>
          </cell>
          <cell r="N802" t="str">
            <v>Russia</v>
          </cell>
          <cell r="O802" t="str">
            <v>Сервис-НГТ</v>
          </cell>
          <cell r="P802" t="str">
            <v>4 weeks</v>
          </cell>
          <cell r="Q802">
            <v>43290</v>
          </cell>
          <cell r="R802"/>
        </row>
        <row r="803">
          <cell r="B803">
            <v>797</v>
          </cell>
          <cell r="C803">
            <v>1</v>
          </cell>
          <cell r="D803" t="str">
            <v>Bracket</v>
          </cell>
          <cell r="E803" t="str">
            <v>ОСП0012967</v>
          </cell>
          <cell r="F803">
            <v>46456606069</v>
          </cell>
          <cell r="G803" t="str">
            <v>60114601500_00</v>
          </cell>
          <cell r="H803" t="str">
            <v>Кронштейн направляющей T50, 75-215 мм</v>
          </cell>
          <cell r="I803" t="str">
            <v>GR bracket T50, 75-215 mm</v>
          </cell>
          <cell r="J803" t="str">
            <v>компл</v>
          </cell>
          <cell r="K803">
            <v>3</v>
          </cell>
          <cell r="L803"/>
          <cell r="M803" t="str">
            <v>Order</v>
          </cell>
          <cell r="N803" t="str">
            <v>Russia</v>
          </cell>
          <cell r="O803" t="str">
            <v>Сервис-НГТ</v>
          </cell>
          <cell r="P803" t="str">
            <v>4 weeks</v>
          </cell>
          <cell r="Q803">
            <v>43290</v>
          </cell>
          <cell r="R803"/>
        </row>
        <row r="804">
          <cell r="B804">
            <v>798</v>
          </cell>
          <cell r="C804">
            <v>1</v>
          </cell>
          <cell r="D804" t="str">
            <v>Bracket</v>
          </cell>
          <cell r="E804" t="str">
            <v>ОСП0012968</v>
          </cell>
          <cell r="F804">
            <v>46456606070</v>
          </cell>
          <cell r="G804" t="str">
            <v>60114601700_00</v>
          </cell>
          <cell r="H804" t="str">
            <v>Кронштейн направляющей T50, 165-325 мм</v>
          </cell>
          <cell r="I804" t="str">
            <v>GR bracket T50, 165-325 mm</v>
          </cell>
          <cell r="J804" t="str">
            <v>компл</v>
          </cell>
          <cell r="K804">
            <v>3</v>
          </cell>
          <cell r="L804"/>
          <cell r="M804" t="str">
            <v>Order</v>
          </cell>
          <cell r="N804" t="str">
            <v>Russia</v>
          </cell>
          <cell r="O804" t="str">
            <v>Сервис-НГТ</v>
          </cell>
          <cell r="P804" t="str">
            <v>4 weeks</v>
          </cell>
          <cell r="Q804">
            <v>43290</v>
          </cell>
          <cell r="R804"/>
        </row>
        <row r="805">
          <cell r="B805">
            <v>799</v>
          </cell>
          <cell r="C805">
            <v>1</v>
          </cell>
          <cell r="D805" t="str">
            <v>Bracket</v>
          </cell>
          <cell r="E805" t="str">
            <v>ОСП0012969</v>
          </cell>
          <cell r="F805">
            <v>46456606071</v>
          </cell>
          <cell r="G805" t="str">
            <v>60114602000_00</v>
          </cell>
          <cell r="H805" t="str">
            <v>Кронштейн направляющей T70 / T50 (смещ. 85), 225-275 мм</v>
          </cell>
          <cell r="I805" t="str">
            <v>GR bracket T70 / T50 (offset 85), 225-275 mm</v>
          </cell>
          <cell r="J805" t="str">
            <v>компл</v>
          </cell>
          <cell r="K805">
            <v>3</v>
          </cell>
          <cell r="L805"/>
          <cell r="M805" t="str">
            <v>Order</v>
          </cell>
          <cell r="N805" t="str">
            <v>Russia</v>
          </cell>
          <cell r="O805" t="str">
            <v>Эталон</v>
          </cell>
          <cell r="P805" t="str">
            <v>4 weeks</v>
          </cell>
          <cell r="Q805">
            <v>43290</v>
          </cell>
          <cell r="R805"/>
        </row>
        <row r="806">
          <cell r="B806">
            <v>800</v>
          </cell>
          <cell r="C806">
            <v>1</v>
          </cell>
          <cell r="D806" t="str">
            <v>Bracket</v>
          </cell>
          <cell r="E806" t="str">
            <v>ОСП0012970</v>
          </cell>
          <cell r="F806">
            <v>46456606072</v>
          </cell>
          <cell r="G806" t="str">
            <v>60114602000_00</v>
          </cell>
          <cell r="H806" t="str">
            <v>Кронштейн направляющей T70 / T50 (соосный), 225-275 мм</v>
          </cell>
          <cell r="I806" t="str">
            <v>GR bracket T70 / T50 (coaxial), 225-275 mm</v>
          </cell>
          <cell r="J806" t="str">
            <v>компл</v>
          </cell>
          <cell r="K806">
            <v>3</v>
          </cell>
          <cell r="L806"/>
          <cell r="M806" t="str">
            <v>Order</v>
          </cell>
          <cell r="N806" t="str">
            <v>Russia</v>
          </cell>
          <cell r="O806" t="str">
            <v>Эталон</v>
          </cell>
          <cell r="P806" t="str">
            <v>4 weeks</v>
          </cell>
          <cell r="Q806">
            <v>43290</v>
          </cell>
          <cell r="R806"/>
        </row>
        <row r="807">
          <cell r="B807">
            <v>801</v>
          </cell>
          <cell r="C807">
            <v>1</v>
          </cell>
          <cell r="D807" t="str">
            <v>Bracket</v>
          </cell>
          <cell r="E807" t="str">
            <v>ОСП0012971</v>
          </cell>
          <cell r="F807">
            <v>46456606073</v>
          </cell>
          <cell r="G807" t="str">
            <v>60114602000_00</v>
          </cell>
          <cell r="H807" t="str">
            <v>Кронштейн направляющей T90 / T50 (соосный), 225-275 мм</v>
          </cell>
          <cell r="I807" t="str">
            <v>GR bracket T90 / T50 (coaxial), 225-275 mm</v>
          </cell>
          <cell r="J807" t="str">
            <v>компл</v>
          </cell>
          <cell r="K807">
            <v>3</v>
          </cell>
          <cell r="L807"/>
          <cell r="M807" t="str">
            <v>Order</v>
          </cell>
          <cell r="N807" t="str">
            <v>Russia</v>
          </cell>
          <cell r="O807" t="str">
            <v>Эталон</v>
          </cell>
          <cell r="P807" t="str">
            <v>4 weeks</v>
          </cell>
          <cell r="Q807">
            <v>43290</v>
          </cell>
          <cell r="R807"/>
        </row>
        <row r="808">
          <cell r="B808">
            <v>802</v>
          </cell>
          <cell r="C808">
            <v>1</v>
          </cell>
          <cell r="D808" t="str">
            <v>Bracket</v>
          </cell>
          <cell r="E808" t="str">
            <v>ОСП0012972</v>
          </cell>
          <cell r="F808">
            <v>46456606074</v>
          </cell>
          <cell r="G808" t="str">
            <v>60114601000_00</v>
          </cell>
          <cell r="H808" t="str">
            <v>Кронштейн направляющей T70 / T50 (смещ. 85), 270-320 мм</v>
          </cell>
          <cell r="I808" t="str">
            <v>GR bracket T70 / T50 (offset 85), 270-320 mm</v>
          </cell>
          <cell r="J808" t="str">
            <v>компл</v>
          </cell>
          <cell r="K808">
            <v>3</v>
          </cell>
          <cell r="L808"/>
          <cell r="M808" t="str">
            <v>Order</v>
          </cell>
          <cell r="N808" t="str">
            <v>Russia</v>
          </cell>
          <cell r="O808" t="str">
            <v>Эталон</v>
          </cell>
          <cell r="P808" t="str">
            <v>4 weeks</v>
          </cell>
          <cell r="Q808">
            <v>43290</v>
          </cell>
          <cell r="R808"/>
        </row>
        <row r="809">
          <cell r="B809">
            <v>803</v>
          </cell>
          <cell r="C809">
            <v>1</v>
          </cell>
          <cell r="D809" t="str">
            <v>Bracket</v>
          </cell>
          <cell r="E809" t="str">
            <v>ОСП0012973</v>
          </cell>
          <cell r="F809">
            <v>46456606075</v>
          </cell>
          <cell r="G809" t="str">
            <v>60114601000_00</v>
          </cell>
          <cell r="H809" t="str">
            <v>Кронштейн направляющей T70 / T50 (соосный), 270-320 мм</v>
          </cell>
          <cell r="I809" t="str">
            <v>GR bracket T70 / T50 (coaxial), 270-320 mm</v>
          </cell>
          <cell r="J809" t="str">
            <v>компл</v>
          </cell>
          <cell r="K809">
            <v>3</v>
          </cell>
          <cell r="L809"/>
          <cell r="M809" t="str">
            <v>Order</v>
          </cell>
          <cell r="N809" t="str">
            <v>Russia</v>
          </cell>
          <cell r="O809" t="str">
            <v>Эталон</v>
          </cell>
          <cell r="P809" t="str">
            <v>4 weeks</v>
          </cell>
          <cell r="Q809">
            <v>43290</v>
          </cell>
          <cell r="R809"/>
        </row>
        <row r="810">
          <cell r="B810">
            <v>804</v>
          </cell>
          <cell r="C810">
            <v>1</v>
          </cell>
          <cell r="D810" t="str">
            <v>Bracket</v>
          </cell>
          <cell r="E810" t="str">
            <v>ОСП0012974</v>
          </cell>
          <cell r="F810">
            <v>46456606076</v>
          </cell>
          <cell r="G810" t="str">
            <v>60114601000_00</v>
          </cell>
          <cell r="H810" t="str">
            <v>Кронштейн направляющей T90 / T50 (соосный), 270-320 мм</v>
          </cell>
          <cell r="I810" t="str">
            <v>GR bracket T90 / T50 (coaxial), 270-320 mm</v>
          </cell>
          <cell r="J810" t="str">
            <v>компл</v>
          </cell>
          <cell r="K810">
            <v>3</v>
          </cell>
          <cell r="L810"/>
          <cell r="M810" t="str">
            <v>Order</v>
          </cell>
          <cell r="N810" t="str">
            <v>Russia</v>
          </cell>
          <cell r="O810" t="str">
            <v>Эталон</v>
          </cell>
          <cell r="P810" t="str">
            <v>4 weeks</v>
          </cell>
          <cell r="Q810">
            <v>43290</v>
          </cell>
          <cell r="R810"/>
        </row>
        <row r="811">
          <cell r="B811">
            <v>805</v>
          </cell>
          <cell r="C811">
            <v>1</v>
          </cell>
          <cell r="D811" t="str">
            <v>Bracket</v>
          </cell>
          <cell r="E811" t="str">
            <v>ОСП0012975</v>
          </cell>
          <cell r="F811">
            <v>46456606077</v>
          </cell>
          <cell r="G811" t="str">
            <v>60114601800_00</v>
          </cell>
          <cell r="H811" t="str">
            <v>Кронштейн направляющей T70 / T50 (смещ. 85), 305-380 мм</v>
          </cell>
          <cell r="I811" t="str">
            <v>GR bracket T70 / T50 (offset 85), 305-380 mm</v>
          </cell>
          <cell r="J811" t="str">
            <v>компл</v>
          </cell>
          <cell r="K811">
            <v>3</v>
          </cell>
          <cell r="L811"/>
          <cell r="M811" t="str">
            <v>Order</v>
          </cell>
          <cell r="N811" t="str">
            <v>Russia</v>
          </cell>
          <cell r="O811" t="str">
            <v>Эталон</v>
          </cell>
          <cell r="P811" t="str">
            <v>4 weeks</v>
          </cell>
          <cell r="Q811">
            <v>43290</v>
          </cell>
          <cell r="R811"/>
        </row>
        <row r="812">
          <cell r="B812">
            <v>806</v>
          </cell>
          <cell r="C812">
            <v>1</v>
          </cell>
          <cell r="D812" t="str">
            <v>Bracket</v>
          </cell>
          <cell r="E812" t="str">
            <v>ОСП0012976</v>
          </cell>
          <cell r="F812">
            <v>46456606078</v>
          </cell>
          <cell r="G812" t="str">
            <v>60114601800_00</v>
          </cell>
          <cell r="H812" t="str">
            <v>Кронштейн направляющей T70 / T50 (соосный), 305-380 мм</v>
          </cell>
          <cell r="I812" t="str">
            <v>GR bracket T70 / T50 (coaxial), 305-380 mm</v>
          </cell>
          <cell r="J812" t="str">
            <v>компл</v>
          </cell>
          <cell r="K812">
            <v>3</v>
          </cell>
          <cell r="L812"/>
          <cell r="M812" t="str">
            <v>Order</v>
          </cell>
          <cell r="N812" t="str">
            <v>Russia</v>
          </cell>
          <cell r="O812" t="str">
            <v>Эталон</v>
          </cell>
          <cell r="P812" t="str">
            <v>4 weeks</v>
          </cell>
          <cell r="Q812">
            <v>43290</v>
          </cell>
          <cell r="R812"/>
        </row>
        <row r="813">
          <cell r="B813">
            <v>807</v>
          </cell>
          <cell r="C813">
            <v>1</v>
          </cell>
          <cell r="D813" t="str">
            <v>Bracket</v>
          </cell>
          <cell r="E813" t="str">
            <v>ОСП0012977</v>
          </cell>
          <cell r="F813">
            <v>46456606079</v>
          </cell>
          <cell r="G813" t="str">
            <v>60114601100_02</v>
          </cell>
          <cell r="H813" t="str">
            <v>AY Кронштейн направляющей T89, T90 / T90 (соосный, параметрич.)</v>
          </cell>
          <cell r="I813" t="str">
            <v>AY GR bracket T89, T90 / T90 (coaxial, parametric)</v>
          </cell>
          <cell r="J813" t="str">
            <v>компл</v>
          </cell>
          <cell r="K813">
            <v>3</v>
          </cell>
          <cell r="L813" t="str">
            <v>Assembly</v>
          </cell>
          <cell r="M813" t="str">
            <v>Order</v>
          </cell>
          <cell r="N813" t="str">
            <v>Russia</v>
          </cell>
          <cell r="O813" t="str">
            <v>Эталон</v>
          </cell>
          <cell r="P813" t="str">
            <v>4 weeks</v>
          </cell>
          <cell r="Q813">
            <v>43290</v>
          </cell>
          <cell r="R813"/>
        </row>
        <row r="814">
          <cell r="B814">
            <v>808</v>
          </cell>
          <cell r="C814">
            <v>1</v>
          </cell>
          <cell r="D814" t="str">
            <v>Bracket</v>
          </cell>
          <cell r="E814" t="str">
            <v xml:space="preserve">ОСП0012978 </v>
          </cell>
          <cell r="F814"/>
          <cell r="G814"/>
          <cell r="H814" t="str">
            <v>Кронштейн направляющей T89, T90 / T90 (соосный, параметрич.)</v>
          </cell>
          <cell r="I814" t="str">
            <v>GR bracket T89, T90 / T90 (coaxial, parametric)</v>
          </cell>
          <cell r="J814" t="str">
            <v>шт</v>
          </cell>
          <cell r="K814"/>
          <cell r="L814"/>
          <cell r="M814" t="str">
            <v>Order</v>
          </cell>
          <cell r="N814" t="str">
            <v>Russia</v>
          </cell>
          <cell r="O814" t="str">
            <v>Эталон</v>
          </cell>
          <cell r="P814" t="str">
            <v>4 weeks</v>
          </cell>
          <cell r="Q814">
            <v>43290</v>
          </cell>
          <cell r="R814"/>
        </row>
        <row r="815">
          <cell r="B815">
            <v>809</v>
          </cell>
          <cell r="C815">
            <v>1</v>
          </cell>
          <cell r="D815" t="str">
            <v>Bracket</v>
          </cell>
          <cell r="E815" t="str">
            <v>ОСП0012864</v>
          </cell>
          <cell r="F815">
            <v>46456606080</v>
          </cell>
          <cell r="G815" t="str">
            <v>60114601100_02</v>
          </cell>
          <cell r="H815" t="str">
            <v>AY Кронштейн направляющей T125 / T90 (соосный, параметрич.)</v>
          </cell>
          <cell r="I815" t="str">
            <v>AY GR bracket T125 / T90 (coaxial, parametric)</v>
          </cell>
          <cell r="J815" t="str">
            <v>компл</v>
          </cell>
          <cell r="K815">
            <v>3</v>
          </cell>
          <cell r="L815" t="str">
            <v>Assembly</v>
          </cell>
          <cell r="M815" t="str">
            <v>Order</v>
          </cell>
          <cell r="N815" t="str">
            <v>Russia</v>
          </cell>
          <cell r="O815" t="str">
            <v>Эталон</v>
          </cell>
          <cell r="P815" t="str">
            <v>4 weeks</v>
          </cell>
          <cell r="Q815">
            <v>43290</v>
          </cell>
          <cell r="R815"/>
        </row>
        <row r="816">
          <cell r="B816">
            <v>810</v>
          </cell>
          <cell r="C816">
            <v>1</v>
          </cell>
          <cell r="D816" t="str">
            <v>Bracket</v>
          </cell>
          <cell r="E816" t="str">
            <v>ОСП0012721</v>
          </cell>
          <cell r="F816"/>
          <cell r="G816"/>
          <cell r="H816" t="str">
            <v>Кронштейн направляющей T125 / T90 (соосный, параметрич.)</v>
          </cell>
          <cell r="I816" t="str">
            <v>GR bracket T125 / T90 (coaxial, parametric)</v>
          </cell>
          <cell r="J816" t="str">
            <v>шт</v>
          </cell>
          <cell r="K816"/>
          <cell r="L816"/>
          <cell r="M816" t="str">
            <v>Order</v>
          </cell>
          <cell r="N816" t="str">
            <v>Russia</v>
          </cell>
          <cell r="O816" t="str">
            <v>Эталон</v>
          </cell>
          <cell r="P816" t="str">
            <v>4 weeks</v>
          </cell>
          <cell r="Q816">
            <v>43290</v>
          </cell>
          <cell r="R816"/>
        </row>
        <row r="817">
          <cell r="B817">
            <v>811</v>
          </cell>
          <cell r="C817">
            <v>1</v>
          </cell>
          <cell r="D817" t="str">
            <v>Fixation</v>
          </cell>
          <cell r="E817" t="str">
            <v>ОСП0011836</v>
          </cell>
          <cell r="F817">
            <v>46456606081</v>
          </cell>
          <cell r="G817"/>
          <cell r="H817" t="str">
            <v>Прижим крепления направляющих 2/3А</v>
          </cell>
          <cell r="I817" t="str">
            <v>Guide rail clamp plate 2/3A</v>
          </cell>
          <cell r="J817" t="str">
            <v>шт</v>
          </cell>
          <cell r="K817">
            <v>4</v>
          </cell>
          <cell r="L817"/>
          <cell r="M817" t="str">
            <v>Order</v>
          </cell>
          <cell r="N817" t="str">
            <v>Russia</v>
          </cell>
          <cell r="O817" t="str">
            <v>ОМЗ</v>
          </cell>
          <cell r="P817" t="str">
            <v>2 weeks</v>
          </cell>
          <cell r="Q817">
            <v>43319</v>
          </cell>
          <cell r="R817"/>
        </row>
        <row r="818">
          <cell r="B818">
            <v>812</v>
          </cell>
          <cell r="C818">
            <v>1</v>
          </cell>
          <cell r="D818" t="str">
            <v>Communication</v>
          </cell>
          <cell r="E818" t="str">
            <v>ОСП0013098</v>
          </cell>
          <cell r="F818">
            <v>46405101040</v>
          </cell>
          <cell r="G818" t="str">
            <v>465213.160-26</v>
          </cell>
          <cell r="H818" t="str">
            <v>Блок лифтовой 6.0-TP (МСУ ОЛИМП-ЛИФТ)</v>
          </cell>
          <cell r="I818" t="str">
            <v>Intercom LKDS Lift Unit 6.0 TR (MSU OLIMP-LIFT)</v>
          </cell>
          <cell r="J818" t="str">
            <v>шт</v>
          </cell>
          <cell r="K818">
            <v>18</v>
          </cell>
          <cell r="L818"/>
          <cell r="M818" t="str">
            <v>Stock</v>
          </cell>
          <cell r="N818" t="str">
            <v>Russia</v>
          </cell>
          <cell r="O818" t="str">
            <v>ЛКДС</v>
          </cell>
          <cell r="P818" t="str">
            <v>3 weeks</v>
          </cell>
          <cell r="Q818">
            <v>43335</v>
          </cell>
          <cell r="R818"/>
        </row>
        <row r="819">
          <cell r="B819">
            <v>813</v>
          </cell>
          <cell r="C819">
            <v>1</v>
          </cell>
          <cell r="D819" t="str">
            <v>Door</v>
          </cell>
          <cell r="E819" t="str">
            <v>ОСП0013078</v>
          </cell>
          <cell r="F819">
            <v>46451513004</v>
          </cell>
          <cell r="G819" t="str">
            <v>60944600003_00</v>
          </cell>
          <cell r="H819" t="str">
            <v>Г-образный усилитель кронштейна ДШ</v>
          </cell>
          <cell r="I819" t="str">
            <v>L-profile bracket stiffener</v>
          </cell>
          <cell r="J819" t="str">
            <v>шт</v>
          </cell>
          <cell r="K819">
            <v>13</v>
          </cell>
          <cell r="L819"/>
          <cell r="M819" t="str">
            <v>Order</v>
          </cell>
          <cell r="N819" t="str">
            <v>Russia</v>
          </cell>
          <cell r="O819" t="str">
            <v>Эталон</v>
          </cell>
          <cell r="P819" t="str">
            <v>2-4 weeks</v>
          </cell>
          <cell r="Q819">
            <v>43335</v>
          </cell>
          <cell r="R819" t="str">
            <v>Усиливает польский кронштейн типа Z</v>
          </cell>
        </row>
      </sheetData>
      <sheetData sheetId="45" refreshError="1"/>
      <sheetData sheetId="46" refreshError="1"/>
      <sheetData sheetId="47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D5"/>
  <sheetViews>
    <sheetView showGridLines="0" workbookViewId="0">
      <selection activeCell="C3" sqref="C3"/>
    </sheetView>
  </sheetViews>
  <sheetFormatPr defaultRowHeight="15" x14ac:dyDescent="0.25"/>
  <cols>
    <col min="2" max="2" width="17" customWidth="1"/>
    <col min="3" max="3" width="14.7109375" customWidth="1"/>
    <col min="4" max="4" width="14.85546875" customWidth="1"/>
  </cols>
  <sheetData>
    <row r="2" spans="2:4" x14ac:dyDescent="0.25">
      <c r="B2" s="71" t="s">
        <v>348</v>
      </c>
      <c r="C2" s="72">
        <v>16</v>
      </c>
      <c r="D2" s="73" t="s">
        <v>349</v>
      </c>
    </row>
    <row r="4" spans="2:4" x14ac:dyDescent="0.25">
      <c r="B4" s="70" t="s">
        <v>347</v>
      </c>
      <c r="C4" s="70" t="s">
        <v>346</v>
      </c>
      <c r="D4" s="69" t="s">
        <v>345</v>
      </c>
    </row>
    <row r="5" spans="2:4" x14ac:dyDescent="0.25">
      <c r="B5" s="68">
        <v>44057</v>
      </c>
      <c r="C5" s="68">
        <f>B5+C2*7</f>
        <v>44169</v>
      </c>
      <c r="D5" s="68">
        <f>C5-14</f>
        <v>44155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M56"/>
  <sheetViews>
    <sheetView showGridLines="0" tabSelected="1" zoomScale="85" zoomScaleNormal="85" workbookViewId="0">
      <selection activeCell="C3" sqref="C3"/>
    </sheetView>
  </sheetViews>
  <sheetFormatPr defaultRowHeight="15.75" x14ac:dyDescent="0.25"/>
  <cols>
    <col min="2" max="2" width="5" style="157" customWidth="1"/>
    <col min="3" max="3" width="61.85546875" style="158" bestFit="1" customWidth="1"/>
    <col min="4" max="4" width="9.85546875" style="65" customWidth="1"/>
    <col min="5" max="5" width="10.28515625" style="66" customWidth="1"/>
    <col min="6" max="7" width="5.140625" style="65" customWidth="1"/>
    <col min="8" max="10" width="22" style="65" customWidth="1"/>
    <col min="11" max="11" width="9.85546875" style="64" customWidth="1"/>
    <col min="12" max="12" width="8.85546875" customWidth="1"/>
    <col min="13" max="13" width="4" customWidth="1"/>
    <col min="14" max="14" width="9.140625" customWidth="1"/>
  </cols>
  <sheetData>
    <row r="2" spans="2:11" x14ac:dyDescent="0.25">
      <c r="B2" s="150"/>
      <c r="C2" s="151" t="s">
        <v>343</v>
      </c>
    </row>
    <row r="3" spans="2:11" x14ac:dyDescent="0.25">
      <c r="B3" s="150"/>
      <c r="C3" s="152" t="s">
        <v>332</v>
      </c>
      <c r="K3" s="67"/>
    </row>
    <row r="4" spans="2:11" x14ac:dyDescent="0.25">
      <c r="B4" s="150"/>
      <c r="C4" s="152">
        <v>1200</v>
      </c>
      <c r="K4" s="67"/>
    </row>
    <row r="5" spans="2:11" x14ac:dyDescent="0.25">
      <c r="B5" s="150"/>
      <c r="C5" s="152" t="s">
        <v>658</v>
      </c>
      <c r="K5" s="67"/>
    </row>
    <row r="6" spans="2:11" x14ac:dyDescent="0.25">
      <c r="B6" s="150"/>
      <c r="C6" s="153"/>
      <c r="K6" s="67"/>
    </row>
    <row r="7" spans="2:11" x14ac:dyDescent="0.25">
      <c r="B7" s="150"/>
      <c r="C7" s="154" t="s">
        <v>337</v>
      </c>
      <c r="K7" s="65"/>
    </row>
    <row r="8" spans="2:11" x14ac:dyDescent="0.25">
      <c r="B8" s="155">
        <v>1</v>
      </c>
      <c r="C8" s="156" t="s">
        <v>326</v>
      </c>
      <c r="K8" s="65"/>
    </row>
    <row r="9" spans="2:11" x14ac:dyDescent="0.25">
      <c r="B9" s="155">
        <v>2</v>
      </c>
      <c r="C9" s="156" t="s">
        <v>325</v>
      </c>
      <c r="K9" s="65"/>
    </row>
    <row r="10" spans="2:11" x14ac:dyDescent="0.25">
      <c r="B10" s="155">
        <v>3</v>
      </c>
      <c r="C10" s="156" t="s">
        <v>324</v>
      </c>
      <c r="K10" s="65"/>
    </row>
    <row r="11" spans="2:11" x14ac:dyDescent="0.25">
      <c r="B11" s="155">
        <v>4</v>
      </c>
      <c r="C11" s="156" t="s">
        <v>322</v>
      </c>
      <c r="K11" s="65"/>
    </row>
    <row r="12" spans="2:11" x14ac:dyDescent="0.25">
      <c r="B12" s="155">
        <v>5</v>
      </c>
      <c r="C12" s="156" t="s">
        <v>329</v>
      </c>
    </row>
    <row r="13" spans="2:11" x14ac:dyDescent="0.25">
      <c r="B13" s="155">
        <v>6</v>
      </c>
      <c r="C13" s="156" t="str">
        <f>IF($C$2="evolution","проверить отделку с LocalComponents","либо краш - RAL7032, либо SS - AISI304")</f>
        <v>либо краш - RAL7032, либо SS - AISI304</v>
      </c>
    </row>
    <row r="14" spans="2:11" x14ac:dyDescent="0.25">
      <c r="B14" s="155">
        <v>7</v>
      </c>
      <c r="C14" s="156" t="s">
        <v>711</v>
      </c>
    </row>
    <row r="15" spans="2:11" x14ac:dyDescent="0.25">
      <c r="B15" s="155">
        <v>8</v>
      </c>
      <c r="C15" s="156" t="str">
        <f>IF($C$2="evolution","мотор VF7+CAN","мотор VF7+Relay")</f>
        <v>мотор VF7+Relay</v>
      </c>
    </row>
    <row r="16" spans="2:11" x14ac:dyDescent="0.25">
      <c r="B16" s="155">
        <v>9</v>
      </c>
      <c r="C16" s="156" t="str">
        <f>IF($C$3="ТО","AL90",IF($C$5=$M$44,"AL54","AL90"))</f>
        <v>AL54</v>
      </c>
    </row>
    <row r="17" spans="2:6" x14ac:dyDescent="0.25">
      <c r="B17" s="155">
        <v>10</v>
      </c>
      <c r="C17" s="156" t="str">
        <f>IF($C$2="evolution","With TKAW Evolution sill support","")</f>
        <v/>
      </c>
    </row>
    <row r="18" spans="2:6" x14ac:dyDescent="0.25">
      <c r="B18" s="155">
        <v>11</v>
      </c>
      <c r="C18" s="156" t="s">
        <v>328</v>
      </c>
    </row>
    <row r="19" spans="2:6" x14ac:dyDescent="0.25">
      <c r="B19" s="155">
        <v>12</v>
      </c>
      <c r="C19" s="156" t="str">
        <f>IF($C$2="evolution","TKAW direct wiring (3000 mm)","fixation brackets - НЕТ")</f>
        <v>fixation brackets - НЕТ</v>
      </c>
      <c r="F19" s="66"/>
    </row>
    <row r="20" spans="2:6" x14ac:dyDescent="0.25">
      <c r="B20" s="150"/>
      <c r="C20" s="153"/>
      <c r="F20" s="66"/>
    </row>
    <row r="21" spans="2:6" x14ac:dyDescent="0.25">
      <c r="B21" s="150"/>
      <c r="C21" s="154" t="s">
        <v>327</v>
      </c>
    </row>
    <row r="22" spans="2:6" x14ac:dyDescent="0.25">
      <c r="B22" s="155">
        <v>1</v>
      </c>
      <c r="C22" s="156" t="s">
        <v>326</v>
      </c>
    </row>
    <row r="23" spans="2:6" x14ac:dyDescent="0.25">
      <c r="B23" s="155">
        <v>2</v>
      </c>
      <c r="C23" s="156" t="s">
        <v>325</v>
      </c>
    </row>
    <row r="24" spans="2:6" x14ac:dyDescent="0.25">
      <c r="B24" s="155">
        <v>3</v>
      </c>
      <c r="C24" s="156" t="s">
        <v>324</v>
      </c>
    </row>
    <row r="25" spans="2:6" x14ac:dyDescent="0.25">
      <c r="B25" s="155">
        <v>4</v>
      </c>
      <c r="C25" s="156" t="str">
        <f>IF($C$2="evolution","модель 40/10 или Premium","модель 10/40")</f>
        <v>модель 10/40</v>
      </c>
    </row>
    <row r="26" spans="2:6" x14ac:dyDescent="0.25">
      <c r="B26" s="155">
        <v>5</v>
      </c>
      <c r="C26" s="156" t="s">
        <v>323</v>
      </c>
    </row>
    <row r="27" spans="2:6" x14ac:dyDescent="0.25">
      <c r="B27" s="155">
        <v>6</v>
      </c>
      <c r="C27" s="156" t="s">
        <v>322</v>
      </c>
    </row>
    <row r="28" spans="2:6" x14ac:dyDescent="0.25">
      <c r="B28" s="155">
        <v>7</v>
      </c>
      <c r="C28" s="156" t="s">
        <v>321</v>
      </c>
    </row>
    <row r="29" spans="2:6" x14ac:dyDescent="0.25">
      <c r="B29" s="155">
        <v>8</v>
      </c>
      <c r="C29" s="156" t="str">
        <f>IF($C$2="evolution","стандарт EN81-20/50","стандарт EN81-1/2")</f>
        <v>стандарт EN81-1/2</v>
      </c>
    </row>
    <row r="30" spans="2:6" x14ac:dyDescent="0.25">
      <c r="B30" s="155">
        <v>9</v>
      </c>
      <c r="C30" s="156" t="str">
        <f>IF($C$3="ТО","AL90",IF($C$5=$M$44,"AL54","AL90"))</f>
        <v>AL54</v>
      </c>
    </row>
    <row r="31" spans="2:6" x14ac:dyDescent="0.25">
      <c r="B31" s="155">
        <v>10</v>
      </c>
      <c r="C31" s="156" t="s">
        <v>320</v>
      </c>
    </row>
    <row r="32" spans="2:6" x14ac:dyDescent="0.25">
      <c r="B32" s="155">
        <v>11</v>
      </c>
      <c r="C32" s="156" t="s">
        <v>319</v>
      </c>
    </row>
    <row r="33" spans="2:13" x14ac:dyDescent="0.25">
      <c r="B33" s="155">
        <v>12</v>
      </c>
      <c r="C33" s="156" t="s">
        <v>318</v>
      </c>
    </row>
    <row r="34" spans="2:13" x14ac:dyDescent="0.25">
      <c r="B34" s="155">
        <v>13</v>
      </c>
      <c r="C34" s="156" t="str">
        <f>VLOOKUP($C$4,$G$44:$J$51,IF($C$3="ТО",3,IF($C$5=$M$44,2,4)),0)&amp;" - "&amp;VLOOKUP($C$35,$K$44:$L$47,2,0)</f>
        <v>4 brackets / 5 brackets - 1W</v>
      </c>
    </row>
    <row r="35" spans="2:13" x14ac:dyDescent="0.25">
      <c r="B35" s="155">
        <v>14</v>
      </c>
      <c r="C35" s="156" t="str">
        <f>"DHP="&amp;IF($C$3=$F$44,90,IF($C$5=$M$44,54,90))+IF($C$2=$E$44,60,25)+23</f>
        <v>DHP=102</v>
      </c>
    </row>
    <row r="36" spans="2:13" x14ac:dyDescent="0.25">
      <c r="B36" s="155">
        <v>15</v>
      </c>
      <c r="C36" s="156" t="s">
        <v>317</v>
      </c>
    </row>
    <row r="37" spans="2:13" x14ac:dyDescent="0.25">
      <c r="B37" s="155">
        <v>16</v>
      </c>
      <c r="C37" s="156" t="str">
        <f>IF($C$2="evolution","TKAW direct wiring with connector","")</f>
        <v/>
      </c>
    </row>
    <row r="38" spans="2:13" x14ac:dyDescent="0.25">
      <c r="B38" s="155">
        <v>17</v>
      </c>
      <c r="C38" s="156" t="str">
        <f>IF($C$2="evolution","Рамы: 60 mm","Рамы: 25 mm")</f>
        <v>Рамы: 25 mm</v>
      </c>
    </row>
    <row r="39" spans="2:13" x14ac:dyDescent="0.25">
      <c r="B39" s="155">
        <v>18</v>
      </c>
      <c r="C39" s="156" t="str">
        <f>IF($C$2="evolution","Анкерный болт (Одинарный)","")</f>
        <v/>
      </c>
    </row>
    <row r="40" spans="2:13" x14ac:dyDescent="0.25">
      <c r="B40" s="150"/>
      <c r="C40" s="153"/>
    </row>
    <row r="44" spans="2:13" x14ac:dyDescent="0.25">
      <c r="E44" s="66" t="s">
        <v>344</v>
      </c>
      <c r="F44" s="66" t="s">
        <v>333</v>
      </c>
      <c r="G44" s="66">
        <v>700</v>
      </c>
      <c r="H44" s="65" t="s">
        <v>340</v>
      </c>
      <c r="I44" s="65" t="s">
        <v>340</v>
      </c>
      <c r="K44" t="s">
        <v>342</v>
      </c>
      <c r="L44" t="s">
        <v>335</v>
      </c>
      <c r="M44" t="s">
        <v>658</v>
      </c>
    </row>
    <row r="45" spans="2:13" x14ac:dyDescent="0.25">
      <c r="E45" s="66" t="s">
        <v>343</v>
      </c>
      <c r="F45" s="66" t="s">
        <v>332</v>
      </c>
      <c r="G45" s="66">
        <v>800</v>
      </c>
      <c r="H45" s="65" t="s">
        <v>340</v>
      </c>
      <c r="I45" s="65" t="s">
        <v>340</v>
      </c>
      <c r="K45" t="s">
        <v>341</v>
      </c>
      <c r="L45" t="s">
        <v>335</v>
      </c>
      <c r="M45" t="s">
        <v>659</v>
      </c>
    </row>
    <row r="46" spans="2:13" x14ac:dyDescent="0.25">
      <c r="G46" s="66">
        <v>900</v>
      </c>
      <c r="H46" s="65" t="s">
        <v>340</v>
      </c>
      <c r="I46" s="65" t="s">
        <v>334</v>
      </c>
      <c r="K46" t="s">
        <v>339</v>
      </c>
      <c r="L46" t="s">
        <v>338</v>
      </c>
    </row>
    <row r="47" spans="2:13" x14ac:dyDescent="0.25">
      <c r="G47" s="66">
        <v>1000</v>
      </c>
      <c r="H47" s="65" t="s">
        <v>334</v>
      </c>
      <c r="I47" s="65" t="s">
        <v>334</v>
      </c>
      <c r="K47" t="s">
        <v>336</v>
      </c>
      <c r="L47" t="s">
        <v>335</v>
      </c>
    </row>
    <row r="48" spans="2:13" x14ac:dyDescent="0.25">
      <c r="G48" s="66">
        <v>1100</v>
      </c>
      <c r="H48" s="65" t="s">
        <v>334</v>
      </c>
      <c r="I48" s="65" t="s">
        <v>334</v>
      </c>
    </row>
    <row r="49" spans="7:10" x14ac:dyDescent="0.25">
      <c r="G49" s="66">
        <v>1200</v>
      </c>
      <c r="H49" s="65" t="s">
        <v>331</v>
      </c>
      <c r="I49" s="65" t="s">
        <v>330</v>
      </c>
      <c r="J49" s="65" t="s">
        <v>331</v>
      </c>
    </row>
    <row r="50" spans="7:10" x14ac:dyDescent="0.25">
      <c r="G50" s="66">
        <v>1300</v>
      </c>
      <c r="H50" s="65" t="s">
        <v>331</v>
      </c>
      <c r="I50" s="65" t="s">
        <v>330</v>
      </c>
      <c r="J50" s="65" t="s">
        <v>331</v>
      </c>
    </row>
    <row r="51" spans="7:10" x14ac:dyDescent="0.25">
      <c r="G51" s="66">
        <v>1400</v>
      </c>
      <c r="H51" s="65" t="s">
        <v>331</v>
      </c>
      <c r="I51" s="65" t="s">
        <v>330</v>
      </c>
      <c r="J51" s="65" t="s">
        <v>331</v>
      </c>
    </row>
    <row r="53" spans="7:10" x14ac:dyDescent="0.25">
      <c r="G53" s="66">
        <v>700</v>
      </c>
    </row>
    <row r="54" spans="7:10" x14ac:dyDescent="0.25">
      <c r="G54" s="66">
        <v>800</v>
      </c>
    </row>
    <row r="55" spans="7:10" x14ac:dyDescent="0.25">
      <c r="G55" s="66">
        <v>900</v>
      </c>
    </row>
    <row r="56" spans="7:10" x14ac:dyDescent="0.25">
      <c r="G56" s="66">
        <v>1200</v>
      </c>
    </row>
  </sheetData>
  <conditionalFormatting sqref="C36:C1048576 C1:C20 C22:C34">
    <cfRule type="cellIs" dxfId="2" priority="3" operator="equal">
      <formula>"просто поставь галочку"</formula>
    </cfRule>
  </conditionalFormatting>
  <conditionalFormatting sqref="C21">
    <cfRule type="cellIs" dxfId="1" priority="2" operator="equal">
      <formula>"просто поставь галочку"</formula>
    </cfRule>
  </conditionalFormatting>
  <conditionalFormatting sqref="C35">
    <cfRule type="cellIs" dxfId="0" priority="1" operator="equal">
      <formula>"просто поставь галочку"</formula>
    </cfRule>
  </conditionalFormatting>
  <dataValidations count="4">
    <dataValidation type="list" allowBlank="1" showInputMessage="1" showErrorMessage="1" sqref="C2">
      <formula1>$E$44:$E$45</formula1>
    </dataValidation>
    <dataValidation type="list" allowBlank="1" showInputMessage="1" showErrorMessage="1" sqref="C3">
      <formula1>$F$44:$F$45</formula1>
    </dataValidation>
    <dataValidation type="list" showInputMessage="1" showErrorMessage="1" sqref="C5">
      <formula1>IF($C$2=$E$44,_2_4_створчатые,_2_створчатые)</formula1>
    </dataValidation>
    <dataValidation type="list" showInputMessage="1" showErrorMessage="1" sqref="C4">
      <formula1>IF($C$2=$E$44,двери_evo,двери_sc)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P20"/>
  <sheetViews>
    <sheetView showGridLines="0" zoomScaleNormal="100" workbookViewId="0">
      <selection activeCell="N9" sqref="N9"/>
    </sheetView>
  </sheetViews>
  <sheetFormatPr defaultColWidth="8.85546875" defaultRowHeight="12" x14ac:dyDescent="0.2"/>
  <cols>
    <col min="1" max="1" width="6.5703125" style="1" customWidth="1"/>
    <col min="2" max="2" width="15.140625" style="1" bestFit="1" customWidth="1"/>
    <col min="3" max="13" width="9.85546875" style="1" customWidth="1"/>
    <col min="14" max="14" width="12.140625" style="1" customWidth="1"/>
    <col min="15" max="15" width="8.85546875" style="1"/>
    <col min="16" max="16" width="65.140625" style="1" customWidth="1"/>
    <col min="17" max="16384" width="8.85546875" style="1"/>
  </cols>
  <sheetData>
    <row r="3" spans="2:16" x14ac:dyDescent="0.2">
      <c r="D3" s="209" t="s">
        <v>560</v>
      </c>
      <c r="E3" s="209"/>
      <c r="F3" s="209"/>
      <c r="G3" s="209"/>
      <c r="H3" s="209"/>
      <c r="I3" s="209"/>
      <c r="J3" s="209"/>
      <c r="K3" s="209"/>
      <c r="L3" s="209"/>
      <c r="M3" s="96"/>
      <c r="N3" s="94" t="s">
        <v>556</v>
      </c>
      <c r="P3" s="63" t="s">
        <v>566</v>
      </c>
    </row>
    <row r="4" spans="2:16" x14ac:dyDescent="0.2">
      <c r="B4" s="62" t="s">
        <v>9</v>
      </c>
      <c r="C4" s="62" t="s">
        <v>8</v>
      </c>
      <c r="D4" s="204">
        <v>400</v>
      </c>
      <c r="E4" s="205"/>
      <c r="F4" s="206"/>
      <c r="G4" s="204">
        <v>630</v>
      </c>
      <c r="H4" s="205"/>
      <c r="I4" s="206"/>
      <c r="J4" s="204">
        <v>1000</v>
      </c>
      <c r="K4" s="205"/>
      <c r="L4" s="206"/>
      <c r="M4" s="97"/>
      <c r="N4" s="210"/>
      <c r="P4" s="102" t="s">
        <v>567</v>
      </c>
    </row>
    <row r="5" spans="2:16" x14ac:dyDescent="0.2">
      <c r="B5" s="62" t="s">
        <v>5</v>
      </c>
      <c r="C5" s="62" t="s">
        <v>4</v>
      </c>
      <c r="D5" s="62">
        <v>1</v>
      </c>
      <c r="E5" s="204">
        <v>1.6</v>
      </c>
      <c r="F5" s="206"/>
      <c r="G5" s="62">
        <v>1</v>
      </c>
      <c r="H5" s="204">
        <v>1.6</v>
      </c>
      <c r="I5" s="206"/>
      <c r="J5" s="62">
        <v>1</v>
      </c>
      <c r="K5" s="204">
        <v>1.6</v>
      </c>
      <c r="L5" s="206"/>
      <c r="M5" s="98"/>
      <c r="N5" s="211"/>
      <c r="P5" s="102" t="s">
        <v>568</v>
      </c>
    </row>
    <row r="6" spans="2:16" x14ac:dyDescent="0.2">
      <c r="B6" s="62" t="s">
        <v>3</v>
      </c>
      <c r="C6" s="62" t="s">
        <v>2</v>
      </c>
      <c r="D6" s="62" t="s">
        <v>557</v>
      </c>
      <c r="E6" s="62" t="s">
        <v>557</v>
      </c>
      <c r="F6" s="62" t="s">
        <v>558</v>
      </c>
      <c r="G6" s="62" t="s">
        <v>557</v>
      </c>
      <c r="H6" s="62" t="s">
        <v>557</v>
      </c>
      <c r="I6" s="62" t="s">
        <v>558</v>
      </c>
      <c r="J6" s="62" t="s">
        <v>557</v>
      </c>
      <c r="K6" s="62" t="s">
        <v>557</v>
      </c>
      <c r="L6" s="62" t="s">
        <v>558</v>
      </c>
      <c r="M6" s="99"/>
      <c r="N6" s="212"/>
      <c r="P6" s="102" t="s">
        <v>569</v>
      </c>
    </row>
    <row r="7" spans="2:16" x14ac:dyDescent="0.2">
      <c r="B7" s="62" t="s">
        <v>1</v>
      </c>
      <c r="C7" s="62"/>
      <c r="D7" s="204" t="s">
        <v>0</v>
      </c>
      <c r="E7" s="205"/>
      <c r="F7" s="205"/>
      <c r="G7" s="205"/>
      <c r="H7" s="205"/>
      <c r="I7" s="206"/>
      <c r="J7" s="207" t="s">
        <v>368</v>
      </c>
      <c r="K7" s="208"/>
      <c r="L7" s="95" t="s">
        <v>561</v>
      </c>
      <c r="M7" s="100" t="s">
        <v>562</v>
      </c>
      <c r="N7" s="3" t="s">
        <v>373</v>
      </c>
      <c r="P7" s="3"/>
    </row>
    <row r="8" spans="2:16" x14ac:dyDescent="0.2">
      <c r="B8" s="62" t="s">
        <v>563</v>
      </c>
      <c r="C8" s="62" t="s">
        <v>33</v>
      </c>
      <c r="D8" s="204">
        <v>65</v>
      </c>
      <c r="E8" s="205"/>
      <c r="F8" s="205"/>
      <c r="G8" s="205"/>
      <c r="H8" s="205"/>
      <c r="I8" s="206"/>
      <c r="J8" s="207">
        <v>62</v>
      </c>
      <c r="K8" s="208"/>
      <c r="L8" s="95">
        <v>75</v>
      </c>
      <c r="M8" s="100">
        <v>82</v>
      </c>
      <c r="N8" s="3">
        <v>50</v>
      </c>
      <c r="P8" s="63" t="s">
        <v>570</v>
      </c>
    </row>
    <row r="9" spans="2:16" x14ac:dyDescent="0.2">
      <c r="B9" s="62" t="s">
        <v>564</v>
      </c>
      <c r="C9" s="62" t="s">
        <v>33</v>
      </c>
      <c r="D9" s="204">
        <v>9</v>
      </c>
      <c r="E9" s="205"/>
      <c r="F9" s="205"/>
      <c r="G9" s="205"/>
      <c r="H9" s="205"/>
      <c r="I9" s="206"/>
      <c r="J9" s="207">
        <v>16</v>
      </c>
      <c r="K9" s="208"/>
      <c r="L9" s="95">
        <v>16</v>
      </c>
      <c r="M9" s="100">
        <v>16</v>
      </c>
      <c r="N9" s="3">
        <v>5</v>
      </c>
      <c r="P9" s="102" t="s">
        <v>571</v>
      </c>
    </row>
    <row r="10" spans="2:16" x14ac:dyDescent="0.2">
      <c r="B10" s="62" t="s">
        <v>565</v>
      </c>
      <c r="C10" s="62" t="s">
        <v>33</v>
      </c>
      <c r="D10" s="204">
        <v>10</v>
      </c>
      <c r="E10" s="205"/>
      <c r="F10" s="205"/>
      <c r="G10" s="205"/>
      <c r="H10" s="205"/>
      <c r="I10" s="206"/>
      <c r="J10" s="207">
        <v>16</v>
      </c>
      <c r="K10" s="208"/>
      <c r="L10" s="95">
        <v>16</v>
      </c>
      <c r="M10" s="100">
        <v>16</v>
      </c>
      <c r="N10" s="3">
        <v>6</v>
      </c>
      <c r="P10" s="102" t="s">
        <v>572</v>
      </c>
    </row>
    <row r="11" spans="2:16" x14ac:dyDescent="0.2">
      <c r="B11" s="3" t="s">
        <v>660</v>
      </c>
      <c r="C11" s="3" t="s">
        <v>661</v>
      </c>
      <c r="D11" s="201"/>
      <c r="E11" s="202"/>
      <c r="F11" s="202"/>
      <c r="G11" s="202"/>
      <c r="H11" s="202"/>
      <c r="I11" s="203"/>
      <c r="J11" s="201" t="s">
        <v>663</v>
      </c>
      <c r="K11" s="203"/>
      <c r="L11" s="3"/>
      <c r="M11" s="3"/>
      <c r="N11" s="3" t="s">
        <v>664</v>
      </c>
      <c r="P11" s="102" t="s">
        <v>573</v>
      </c>
    </row>
    <row r="12" spans="2:16" x14ac:dyDescent="0.2">
      <c r="B12" s="3" t="s">
        <v>660</v>
      </c>
      <c r="C12" s="3" t="s">
        <v>662</v>
      </c>
      <c r="D12" s="201"/>
      <c r="E12" s="202"/>
      <c r="F12" s="202"/>
      <c r="G12" s="202"/>
      <c r="H12" s="202"/>
      <c r="I12" s="203"/>
      <c r="J12" s="201"/>
      <c r="K12" s="203"/>
      <c r="L12" s="3"/>
      <c r="M12" s="3"/>
      <c r="N12" s="3"/>
      <c r="P12" s="3"/>
    </row>
    <row r="13" spans="2:16" x14ac:dyDescent="0.2">
      <c r="P13" s="63" t="s">
        <v>574</v>
      </c>
    </row>
    <row r="14" spans="2:16" x14ac:dyDescent="0.2">
      <c r="P14" s="102" t="s">
        <v>575</v>
      </c>
    </row>
    <row r="15" spans="2:16" x14ac:dyDescent="0.2">
      <c r="P15" s="102" t="s">
        <v>576</v>
      </c>
    </row>
    <row r="16" spans="2:16" x14ac:dyDescent="0.2">
      <c r="P16" s="102" t="s">
        <v>577</v>
      </c>
    </row>
    <row r="17" spans="9:16" x14ac:dyDescent="0.2">
      <c r="P17" s="3"/>
    </row>
    <row r="18" spans="9:16" x14ac:dyDescent="0.2">
      <c r="I18" s="1" t="s">
        <v>559</v>
      </c>
      <c r="P18" s="63" t="s">
        <v>579</v>
      </c>
    </row>
    <row r="19" spans="9:16" x14ac:dyDescent="0.2">
      <c r="P19" s="102" t="s">
        <v>578</v>
      </c>
    </row>
    <row r="20" spans="9:16" x14ac:dyDescent="0.2">
      <c r="P20" s="101"/>
    </row>
  </sheetData>
  <mergeCells count="20">
    <mergeCell ref="D3:L3"/>
    <mergeCell ref="N4:N6"/>
    <mergeCell ref="D7:I7"/>
    <mergeCell ref="D4:F4"/>
    <mergeCell ref="G4:I4"/>
    <mergeCell ref="E5:F5"/>
    <mergeCell ref="H5:I5"/>
    <mergeCell ref="J4:L4"/>
    <mergeCell ref="K5:L5"/>
    <mergeCell ref="J7:K7"/>
    <mergeCell ref="D11:I11"/>
    <mergeCell ref="D12:I12"/>
    <mergeCell ref="J11:K11"/>
    <mergeCell ref="J12:K12"/>
    <mergeCell ref="D8:I8"/>
    <mergeCell ref="J8:K8"/>
    <mergeCell ref="D9:I9"/>
    <mergeCell ref="J9:K9"/>
    <mergeCell ref="D10:I10"/>
    <mergeCell ref="J10:K1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C10"/>
  <sheetViews>
    <sheetView showGridLines="0" workbookViewId="0">
      <selection activeCell="F28" sqref="F28"/>
    </sheetView>
  </sheetViews>
  <sheetFormatPr defaultRowHeight="15" x14ac:dyDescent="0.25"/>
  <cols>
    <col min="2" max="2" width="32" customWidth="1"/>
    <col min="3" max="3" width="11.28515625" bestFit="1" customWidth="1"/>
  </cols>
  <sheetData>
    <row r="2" spans="2:3" x14ac:dyDescent="0.25">
      <c r="B2" s="103"/>
      <c r="C2" s="94" t="s">
        <v>588</v>
      </c>
    </row>
    <row r="3" spans="2:3" x14ac:dyDescent="0.25">
      <c r="B3" s="104" t="s">
        <v>580</v>
      </c>
      <c r="C3" s="104">
        <v>1</v>
      </c>
    </row>
    <row r="4" spans="2:3" x14ac:dyDescent="0.25">
      <c r="B4" s="104" t="s">
        <v>581</v>
      </c>
      <c r="C4" s="104">
        <v>2</v>
      </c>
    </row>
    <row r="5" spans="2:3" x14ac:dyDescent="0.25">
      <c r="B5" s="104" t="s">
        <v>582</v>
      </c>
      <c r="C5" s="104">
        <v>3</v>
      </c>
    </row>
    <row r="6" spans="2:3" x14ac:dyDescent="0.25">
      <c r="B6" s="104" t="s">
        <v>583</v>
      </c>
      <c r="C6" s="104">
        <v>4</v>
      </c>
    </row>
    <row r="7" spans="2:3" x14ac:dyDescent="0.25">
      <c r="B7" s="104" t="s">
        <v>584</v>
      </c>
      <c r="C7" s="104">
        <v>5</v>
      </c>
    </row>
    <row r="8" spans="2:3" x14ac:dyDescent="0.25">
      <c r="B8" s="104" t="s">
        <v>585</v>
      </c>
      <c r="C8" s="104">
        <v>6</v>
      </c>
    </row>
    <row r="9" spans="2:3" x14ac:dyDescent="0.25">
      <c r="B9" s="104" t="s">
        <v>586</v>
      </c>
      <c r="C9" s="104">
        <v>7</v>
      </c>
    </row>
    <row r="10" spans="2:3" x14ac:dyDescent="0.25">
      <c r="B10" s="104" t="s">
        <v>587</v>
      </c>
      <c r="C10" s="104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C29"/>
  <sheetViews>
    <sheetView showGridLines="0" workbookViewId="0">
      <selection activeCell="F16" sqref="F16"/>
    </sheetView>
  </sheetViews>
  <sheetFormatPr defaultRowHeight="15" x14ac:dyDescent="0.25"/>
  <cols>
    <col min="2" max="2" width="64.28515625" bestFit="1" customWidth="1"/>
    <col min="3" max="6" width="12.85546875" customWidth="1"/>
  </cols>
  <sheetData>
    <row r="2" spans="2:3" x14ac:dyDescent="0.25">
      <c r="B2" s="130" t="s">
        <v>366</v>
      </c>
      <c r="C2" s="129" t="s">
        <v>633</v>
      </c>
    </row>
    <row r="3" spans="2:3" x14ac:dyDescent="0.25">
      <c r="B3" s="130" t="s">
        <v>372</v>
      </c>
      <c r="C3" s="129">
        <v>2</v>
      </c>
    </row>
    <row r="4" spans="2:3" x14ac:dyDescent="0.25">
      <c r="B4" s="130" t="s">
        <v>632</v>
      </c>
      <c r="C4" s="129">
        <v>3</v>
      </c>
    </row>
    <row r="5" spans="2:3" x14ac:dyDescent="0.25">
      <c r="B5" s="130" t="s">
        <v>631</v>
      </c>
      <c r="C5" s="129">
        <v>4</v>
      </c>
    </row>
    <row r="6" spans="2:3" x14ac:dyDescent="0.25">
      <c r="B6" s="130" t="s">
        <v>630</v>
      </c>
      <c r="C6" s="129">
        <v>5</v>
      </c>
    </row>
    <row r="7" spans="2:3" x14ac:dyDescent="0.25">
      <c r="B7" s="130" t="s">
        <v>629</v>
      </c>
      <c r="C7" s="129">
        <v>6</v>
      </c>
    </row>
    <row r="8" spans="2:3" x14ac:dyDescent="0.25">
      <c r="B8" s="130" t="s">
        <v>628</v>
      </c>
      <c r="C8" s="129">
        <v>7</v>
      </c>
    </row>
    <row r="9" spans="2:3" x14ac:dyDescent="0.25">
      <c r="B9" s="130" t="s">
        <v>627</v>
      </c>
      <c r="C9" s="129">
        <v>8</v>
      </c>
    </row>
    <row r="10" spans="2:3" x14ac:dyDescent="0.25">
      <c r="B10" s="130" t="s">
        <v>626</v>
      </c>
      <c r="C10" s="129">
        <v>9</v>
      </c>
    </row>
    <row r="11" spans="2:3" x14ac:dyDescent="0.25">
      <c r="B11" s="130" t="s">
        <v>625</v>
      </c>
      <c r="C11" s="129" t="s">
        <v>624</v>
      </c>
    </row>
    <row r="12" spans="2:3" x14ac:dyDescent="0.25">
      <c r="B12" s="130" t="s">
        <v>623</v>
      </c>
      <c r="C12" s="129" t="s">
        <v>622</v>
      </c>
    </row>
    <row r="13" spans="2:3" x14ac:dyDescent="0.25">
      <c r="B13" s="130" t="s">
        <v>621</v>
      </c>
      <c r="C13" s="129" t="s">
        <v>620</v>
      </c>
    </row>
    <row r="14" spans="2:3" x14ac:dyDescent="0.25">
      <c r="B14" s="130" t="s">
        <v>619</v>
      </c>
      <c r="C14" s="129" t="s">
        <v>618</v>
      </c>
    </row>
    <row r="15" spans="2:3" x14ac:dyDescent="0.25">
      <c r="B15" s="130" t="s">
        <v>617</v>
      </c>
      <c r="C15" s="129" t="s">
        <v>616</v>
      </c>
    </row>
    <row r="16" spans="2:3" x14ac:dyDescent="0.25">
      <c r="B16" s="130" t="s">
        <v>615</v>
      </c>
      <c r="C16" s="129" t="s">
        <v>614</v>
      </c>
    </row>
    <row r="17" spans="2:3" x14ac:dyDescent="0.25">
      <c r="B17" s="130" t="s">
        <v>613</v>
      </c>
      <c r="C17" s="129" t="s">
        <v>612</v>
      </c>
    </row>
    <row r="18" spans="2:3" x14ac:dyDescent="0.25">
      <c r="B18" s="130" t="s">
        <v>611</v>
      </c>
      <c r="C18" s="129" t="s">
        <v>610</v>
      </c>
    </row>
    <row r="19" spans="2:3" x14ac:dyDescent="0.25">
      <c r="B19" s="130" t="s">
        <v>609</v>
      </c>
      <c r="C19" s="129" t="s">
        <v>608</v>
      </c>
    </row>
    <row r="20" spans="2:3" x14ac:dyDescent="0.25">
      <c r="B20" s="130" t="s">
        <v>607</v>
      </c>
      <c r="C20" s="129" t="s">
        <v>606</v>
      </c>
    </row>
    <row r="21" spans="2:3" x14ac:dyDescent="0.25">
      <c r="B21" s="130" t="s">
        <v>605</v>
      </c>
      <c r="C21" s="129" t="s">
        <v>604</v>
      </c>
    </row>
    <row r="22" spans="2:3" x14ac:dyDescent="0.25">
      <c r="B22" s="130" t="s">
        <v>603</v>
      </c>
      <c r="C22" s="129" t="s">
        <v>602</v>
      </c>
    </row>
    <row r="23" spans="2:3" x14ac:dyDescent="0.25">
      <c r="B23" s="130" t="s">
        <v>601</v>
      </c>
      <c r="C23" s="129" t="s">
        <v>600</v>
      </c>
    </row>
    <row r="24" spans="2:3" x14ac:dyDescent="0.25">
      <c r="B24" s="130" t="s">
        <v>599</v>
      </c>
      <c r="C24" s="129" t="s">
        <v>598</v>
      </c>
    </row>
    <row r="25" spans="2:3" x14ac:dyDescent="0.25">
      <c r="B25" s="130" t="s">
        <v>597</v>
      </c>
      <c r="C25" s="129" t="s">
        <v>596</v>
      </c>
    </row>
    <row r="26" spans="2:3" x14ac:dyDescent="0.25">
      <c r="B26" s="130" t="s">
        <v>595</v>
      </c>
      <c r="C26" s="129" t="s">
        <v>594</v>
      </c>
    </row>
    <row r="27" spans="2:3" x14ac:dyDescent="0.25">
      <c r="B27" s="130" t="s">
        <v>593</v>
      </c>
      <c r="C27" s="129" t="s">
        <v>592</v>
      </c>
    </row>
    <row r="28" spans="2:3" x14ac:dyDescent="0.25">
      <c r="B28" s="130" t="s">
        <v>591</v>
      </c>
      <c r="C28" s="129" t="s">
        <v>590</v>
      </c>
    </row>
    <row r="29" spans="2:3" x14ac:dyDescent="0.25">
      <c r="B29" s="130" t="s">
        <v>666</v>
      </c>
      <c r="C29" s="129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U22"/>
  <sheetViews>
    <sheetView showGridLines="0" workbookViewId="0">
      <selection activeCell="AC22" sqref="AC22"/>
    </sheetView>
  </sheetViews>
  <sheetFormatPr defaultRowHeight="15" x14ac:dyDescent="0.25"/>
  <cols>
    <col min="2" max="2" width="27.7109375" bestFit="1" customWidth="1"/>
    <col min="3" max="20" width="6.140625" bestFit="1" customWidth="1"/>
  </cols>
  <sheetData>
    <row r="2" spans="2:21" x14ac:dyDescent="0.25">
      <c r="B2" s="105" t="s">
        <v>350</v>
      </c>
      <c r="C2" s="215" t="s">
        <v>351</v>
      </c>
      <c r="D2" s="215"/>
      <c r="E2" s="215"/>
      <c r="F2" s="215"/>
      <c r="G2" s="215"/>
      <c r="H2" s="215"/>
      <c r="I2" s="215"/>
      <c r="J2" s="215"/>
      <c r="K2" s="215"/>
      <c r="L2" s="215" t="s">
        <v>352</v>
      </c>
      <c r="M2" s="215"/>
      <c r="N2" s="215"/>
      <c r="O2" s="215"/>
      <c r="P2" s="215"/>
      <c r="Q2" s="215"/>
      <c r="R2" s="215"/>
      <c r="S2" s="215"/>
      <c r="T2" s="215"/>
      <c r="U2" s="74"/>
    </row>
    <row r="3" spans="2:21" x14ac:dyDescent="0.25">
      <c r="B3" s="105" t="s">
        <v>353</v>
      </c>
      <c r="C3" s="215">
        <v>1</v>
      </c>
      <c r="D3" s="215"/>
      <c r="E3" s="215"/>
      <c r="F3" s="215">
        <v>1.6</v>
      </c>
      <c r="G3" s="215"/>
      <c r="H3" s="215"/>
      <c r="I3" s="215"/>
      <c r="J3" s="215"/>
      <c r="K3" s="215"/>
      <c r="L3" s="215">
        <v>1</v>
      </c>
      <c r="M3" s="215"/>
      <c r="N3" s="215"/>
      <c r="O3" s="215">
        <v>1.6</v>
      </c>
      <c r="P3" s="215"/>
      <c r="Q3" s="215"/>
      <c r="R3" s="215"/>
      <c r="S3" s="215"/>
      <c r="T3" s="215"/>
      <c r="U3" s="74"/>
    </row>
    <row r="4" spans="2:21" x14ac:dyDescent="0.25">
      <c r="B4" s="105" t="s">
        <v>354</v>
      </c>
      <c r="C4" s="105">
        <v>400</v>
      </c>
      <c r="D4" s="105">
        <v>630</v>
      </c>
      <c r="E4" s="105">
        <v>1000</v>
      </c>
      <c r="F4" s="106">
        <v>400</v>
      </c>
      <c r="G4" s="106">
        <v>630</v>
      </c>
      <c r="H4" s="106">
        <v>1000</v>
      </c>
      <c r="I4" s="105">
        <v>400</v>
      </c>
      <c r="J4" s="105">
        <v>630</v>
      </c>
      <c r="K4" s="105">
        <v>1000</v>
      </c>
      <c r="L4" s="105">
        <v>400</v>
      </c>
      <c r="M4" s="105">
        <v>630</v>
      </c>
      <c r="N4" s="105">
        <v>1000</v>
      </c>
      <c r="O4" s="106">
        <v>400</v>
      </c>
      <c r="P4" s="106">
        <v>630</v>
      </c>
      <c r="Q4" s="106">
        <v>1000</v>
      </c>
      <c r="R4" s="105">
        <v>400</v>
      </c>
      <c r="S4" s="105">
        <v>630</v>
      </c>
      <c r="T4" s="105">
        <v>1000</v>
      </c>
      <c r="U4" s="74"/>
    </row>
    <row r="5" spans="2:21" x14ac:dyDescent="0.25">
      <c r="B5" s="105" t="s">
        <v>355</v>
      </c>
      <c r="C5" s="215">
        <v>60</v>
      </c>
      <c r="D5" s="215"/>
      <c r="E5" s="215"/>
      <c r="F5" s="216">
        <v>60</v>
      </c>
      <c r="G5" s="216"/>
      <c r="H5" s="216"/>
      <c r="I5" s="215">
        <v>80</v>
      </c>
      <c r="J5" s="215"/>
      <c r="K5" s="215"/>
      <c r="L5" s="215">
        <v>60</v>
      </c>
      <c r="M5" s="215"/>
      <c r="N5" s="215"/>
      <c r="O5" s="216">
        <v>60</v>
      </c>
      <c r="P5" s="216"/>
      <c r="Q5" s="216"/>
      <c r="R5" s="215">
        <v>80</v>
      </c>
      <c r="S5" s="215"/>
      <c r="T5" s="215"/>
      <c r="U5" s="74"/>
    </row>
    <row r="6" spans="2:21" x14ac:dyDescent="0.25">
      <c r="B6" s="107" t="s">
        <v>356</v>
      </c>
      <c r="C6" s="107">
        <v>30</v>
      </c>
      <c r="D6" s="107">
        <v>39</v>
      </c>
      <c r="E6" s="107">
        <v>56</v>
      </c>
      <c r="F6" s="108">
        <v>60</v>
      </c>
      <c r="G6" s="108">
        <v>69</v>
      </c>
      <c r="H6" s="108">
        <v>87</v>
      </c>
      <c r="I6" s="107">
        <v>60</v>
      </c>
      <c r="J6" s="107">
        <v>69</v>
      </c>
      <c r="K6" s="107">
        <v>87</v>
      </c>
      <c r="L6" s="107">
        <v>49</v>
      </c>
      <c r="M6" s="107">
        <v>65</v>
      </c>
      <c r="N6" s="107">
        <v>103</v>
      </c>
      <c r="O6" s="108">
        <v>91</v>
      </c>
      <c r="P6" s="108">
        <v>112</v>
      </c>
      <c r="Q6" s="108">
        <v>159</v>
      </c>
      <c r="R6" s="107">
        <v>91</v>
      </c>
      <c r="S6" s="107">
        <v>112</v>
      </c>
      <c r="T6" s="107">
        <v>159</v>
      </c>
      <c r="U6" s="109" t="s">
        <v>357</v>
      </c>
    </row>
    <row r="7" spans="2:21" x14ac:dyDescent="0.25">
      <c r="B7" s="107" t="s">
        <v>358</v>
      </c>
      <c r="C7" s="107" t="s">
        <v>280</v>
      </c>
      <c r="D7" s="107" t="s">
        <v>280</v>
      </c>
      <c r="E7" s="107" t="s">
        <v>280</v>
      </c>
      <c r="F7" s="108" t="s">
        <v>280</v>
      </c>
      <c r="G7" s="108" t="s">
        <v>280</v>
      </c>
      <c r="H7" s="108" t="s">
        <v>280</v>
      </c>
      <c r="I7" s="107" t="s">
        <v>280</v>
      </c>
      <c r="J7" s="107" t="s">
        <v>280</v>
      </c>
      <c r="K7" s="107" t="s">
        <v>280</v>
      </c>
      <c r="L7" s="107">
        <v>42.4</v>
      </c>
      <c r="M7" s="107">
        <v>62.7</v>
      </c>
      <c r="N7" s="107">
        <v>92</v>
      </c>
      <c r="O7" s="108">
        <v>42.4</v>
      </c>
      <c r="P7" s="108">
        <v>62.7</v>
      </c>
      <c r="Q7" s="108">
        <v>92</v>
      </c>
      <c r="R7" s="107">
        <v>42.4</v>
      </c>
      <c r="S7" s="107">
        <v>62.7</v>
      </c>
      <c r="T7" s="107">
        <v>92</v>
      </c>
      <c r="U7" s="109" t="s">
        <v>359</v>
      </c>
    </row>
    <row r="8" spans="2:21" x14ac:dyDescent="0.25">
      <c r="B8" s="107" t="s">
        <v>360</v>
      </c>
      <c r="C8" s="107" t="s">
        <v>280</v>
      </c>
      <c r="D8" s="107" t="s">
        <v>280</v>
      </c>
      <c r="E8" s="107" t="s">
        <v>280</v>
      </c>
      <c r="F8" s="108" t="s">
        <v>280</v>
      </c>
      <c r="G8" s="108" t="s">
        <v>280</v>
      </c>
      <c r="H8" s="108" t="s">
        <v>280</v>
      </c>
      <c r="I8" s="107" t="s">
        <v>280</v>
      </c>
      <c r="J8" s="107" t="s">
        <v>280</v>
      </c>
      <c r="K8" s="107" t="s">
        <v>280</v>
      </c>
      <c r="L8" s="107">
        <v>31.8</v>
      </c>
      <c r="M8" s="107">
        <v>45.8</v>
      </c>
      <c r="N8" s="107">
        <v>67</v>
      </c>
      <c r="O8" s="108">
        <v>32.6</v>
      </c>
      <c r="P8" s="108">
        <v>49</v>
      </c>
      <c r="Q8" s="108">
        <v>67</v>
      </c>
      <c r="R8" s="107">
        <v>32.6</v>
      </c>
      <c r="S8" s="107">
        <v>49</v>
      </c>
      <c r="T8" s="107">
        <v>67</v>
      </c>
      <c r="U8" s="109" t="s">
        <v>361</v>
      </c>
    </row>
    <row r="9" spans="2:21" x14ac:dyDescent="0.25">
      <c r="B9" s="107" t="s">
        <v>362</v>
      </c>
      <c r="C9" s="107">
        <v>4</v>
      </c>
      <c r="D9" s="107">
        <v>4</v>
      </c>
      <c r="E9" s="107">
        <v>28</v>
      </c>
      <c r="F9" s="108">
        <v>11</v>
      </c>
      <c r="G9" s="108">
        <v>11</v>
      </c>
      <c r="H9" s="108">
        <v>11</v>
      </c>
      <c r="I9" s="107">
        <v>11</v>
      </c>
      <c r="J9" s="107">
        <v>11</v>
      </c>
      <c r="K9" s="107">
        <v>11</v>
      </c>
      <c r="L9" s="107" t="s">
        <v>280</v>
      </c>
      <c r="M9" s="107" t="s">
        <v>280</v>
      </c>
      <c r="N9" s="107" t="s">
        <v>280</v>
      </c>
      <c r="O9" s="108" t="s">
        <v>280</v>
      </c>
      <c r="P9" s="108" t="s">
        <v>280</v>
      </c>
      <c r="Q9" s="108" t="s">
        <v>280</v>
      </c>
      <c r="R9" s="107" t="s">
        <v>280</v>
      </c>
      <c r="S9" s="107" t="s">
        <v>280</v>
      </c>
      <c r="T9" s="107" t="s">
        <v>280</v>
      </c>
      <c r="U9" s="74"/>
    </row>
    <row r="10" spans="2:21" x14ac:dyDescent="0.25">
      <c r="B10" s="107" t="s">
        <v>363</v>
      </c>
      <c r="C10" s="107">
        <v>2.5</v>
      </c>
      <c r="D10" s="107">
        <v>2.5</v>
      </c>
      <c r="E10" s="107">
        <v>2.5</v>
      </c>
      <c r="F10" s="108">
        <v>2.5</v>
      </c>
      <c r="G10" s="108">
        <v>2.5</v>
      </c>
      <c r="H10" s="108">
        <v>2.5</v>
      </c>
      <c r="I10" s="107">
        <v>2.5</v>
      </c>
      <c r="J10" s="107">
        <v>2.5</v>
      </c>
      <c r="K10" s="107">
        <v>2.5</v>
      </c>
      <c r="L10" s="107">
        <v>7.4</v>
      </c>
      <c r="M10" s="107">
        <v>7.4</v>
      </c>
      <c r="N10" s="107">
        <v>9.1999999999999993</v>
      </c>
      <c r="O10" s="108">
        <v>9.1999999999999993</v>
      </c>
      <c r="P10" s="108">
        <v>9.1999999999999993</v>
      </c>
      <c r="Q10" s="108">
        <v>9.1999999999999993</v>
      </c>
      <c r="R10" s="107">
        <v>9.1999999999999993</v>
      </c>
      <c r="S10" s="107">
        <v>9.1999999999999993</v>
      </c>
      <c r="T10" s="107">
        <v>9.1999999999999993</v>
      </c>
      <c r="U10" s="74"/>
    </row>
    <row r="11" spans="2:21" x14ac:dyDescent="0.25">
      <c r="B11" s="107" t="s">
        <v>364</v>
      </c>
      <c r="C11" s="107">
        <v>1.8</v>
      </c>
      <c r="D11" s="107">
        <v>1.8</v>
      </c>
      <c r="E11" s="107">
        <v>1.8</v>
      </c>
      <c r="F11" s="108">
        <v>1.8</v>
      </c>
      <c r="G11" s="108">
        <v>1.8</v>
      </c>
      <c r="H11" s="108">
        <v>1.8</v>
      </c>
      <c r="I11" s="107">
        <v>1.8</v>
      </c>
      <c r="J11" s="107">
        <v>1.8</v>
      </c>
      <c r="K11" s="107">
        <v>1.8</v>
      </c>
      <c r="L11" s="107">
        <v>5.5</v>
      </c>
      <c r="M11" s="107">
        <v>5.5</v>
      </c>
      <c r="N11" s="107">
        <v>6.7</v>
      </c>
      <c r="O11" s="108">
        <v>6.7</v>
      </c>
      <c r="P11" s="108">
        <v>6.7</v>
      </c>
      <c r="Q11" s="108">
        <v>6.7</v>
      </c>
      <c r="R11" s="107">
        <v>6.7</v>
      </c>
      <c r="S11" s="107">
        <v>6.7</v>
      </c>
      <c r="T11" s="107">
        <v>6.7</v>
      </c>
      <c r="U11" s="74"/>
    </row>
    <row r="12" spans="2:21" x14ac:dyDescent="0.25">
      <c r="B12" s="107" t="s">
        <v>365</v>
      </c>
      <c r="C12" s="107">
        <v>1</v>
      </c>
      <c r="D12" s="107">
        <v>1.4</v>
      </c>
      <c r="E12" s="107">
        <v>2.2999999999999998</v>
      </c>
      <c r="F12" s="108">
        <v>1</v>
      </c>
      <c r="G12" s="108">
        <v>1.4</v>
      </c>
      <c r="H12" s="108">
        <v>2.2999999999999998</v>
      </c>
      <c r="I12" s="107">
        <v>1</v>
      </c>
      <c r="J12" s="107">
        <v>1.4</v>
      </c>
      <c r="K12" s="107">
        <v>2.2999999999999998</v>
      </c>
      <c r="L12" s="107">
        <v>2.4</v>
      </c>
      <c r="M12" s="107">
        <v>3.3</v>
      </c>
      <c r="N12" s="107">
        <v>5.3</v>
      </c>
      <c r="O12" s="108">
        <v>3</v>
      </c>
      <c r="P12" s="108">
        <v>4.2</v>
      </c>
      <c r="Q12" s="108">
        <v>6.6</v>
      </c>
      <c r="R12" s="107">
        <v>3</v>
      </c>
      <c r="S12" s="107">
        <v>4.2</v>
      </c>
      <c r="T12" s="107">
        <v>6.6</v>
      </c>
      <c r="U12" s="74"/>
    </row>
    <row r="13" spans="2:21" x14ac:dyDescent="0.25">
      <c r="B13" s="107" t="s">
        <v>366</v>
      </c>
      <c r="C13" s="107" t="s">
        <v>367</v>
      </c>
      <c r="D13" s="107" t="s">
        <v>367</v>
      </c>
      <c r="E13" s="107" t="s">
        <v>368</v>
      </c>
      <c r="F13" s="108" t="s">
        <v>367</v>
      </c>
      <c r="G13" s="108" t="s">
        <v>367</v>
      </c>
      <c r="H13" s="108" t="s">
        <v>368</v>
      </c>
      <c r="I13" s="107" t="s">
        <v>367</v>
      </c>
      <c r="J13" s="107" t="s">
        <v>367</v>
      </c>
      <c r="K13" s="107" t="s">
        <v>369</v>
      </c>
      <c r="L13" s="107"/>
      <c r="M13" s="107"/>
      <c r="N13" s="107"/>
      <c r="O13" s="108"/>
      <c r="P13" s="108"/>
      <c r="Q13" s="108"/>
      <c r="R13" s="107"/>
      <c r="S13" s="107"/>
      <c r="T13" s="107"/>
      <c r="U13" s="213"/>
    </row>
    <row r="14" spans="2:21" x14ac:dyDescent="0.25">
      <c r="B14" s="107" t="s">
        <v>370</v>
      </c>
      <c r="C14" s="107">
        <v>0.4</v>
      </c>
      <c r="D14" s="107">
        <v>0.5</v>
      </c>
      <c r="E14" s="107">
        <v>0.7</v>
      </c>
      <c r="F14" s="108">
        <v>0.4</v>
      </c>
      <c r="G14" s="108">
        <v>0.5</v>
      </c>
      <c r="H14" s="108">
        <v>0.7</v>
      </c>
      <c r="I14" s="107">
        <v>0.4</v>
      </c>
      <c r="J14" s="107">
        <v>0.5</v>
      </c>
      <c r="K14" s="107">
        <v>0.7</v>
      </c>
      <c r="L14" s="107"/>
      <c r="M14" s="107"/>
      <c r="N14" s="107"/>
      <c r="O14" s="108"/>
      <c r="P14" s="108"/>
      <c r="Q14" s="108"/>
      <c r="R14" s="107"/>
      <c r="S14" s="107"/>
      <c r="T14" s="107"/>
      <c r="U14" s="213"/>
    </row>
    <row r="15" spans="2:21" x14ac:dyDescent="0.25">
      <c r="B15" s="107" t="s">
        <v>371</v>
      </c>
      <c r="C15" s="107">
        <v>0.4</v>
      </c>
      <c r="D15" s="107">
        <v>0.7</v>
      </c>
      <c r="E15" s="107">
        <v>2.2000000000000002</v>
      </c>
      <c r="F15" s="108">
        <v>0.4</v>
      </c>
      <c r="G15" s="108">
        <v>0.7</v>
      </c>
      <c r="H15" s="108">
        <v>2.2000000000000002</v>
      </c>
      <c r="I15" s="107">
        <v>0.4</v>
      </c>
      <c r="J15" s="107">
        <v>0.7</v>
      </c>
      <c r="K15" s="107">
        <v>2.2000000000000002</v>
      </c>
      <c r="L15" s="107"/>
      <c r="M15" s="107"/>
      <c r="N15" s="107"/>
      <c r="O15" s="108"/>
      <c r="P15" s="108"/>
      <c r="Q15" s="108"/>
      <c r="R15" s="107"/>
      <c r="S15" s="107"/>
      <c r="T15" s="107"/>
      <c r="U15" s="213"/>
    </row>
    <row r="16" spans="2:21" x14ac:dyDescent="0.25">
      <c r="B16" s="107" t="s">
        <v>372</v>
      </c>
      <c r="C16" s="107" t="s">
        <v>373</v>
      </c>
      <c r="D16" s="107" t="s">
        <v>373</v>
      </c>
      <c r="E16" s="107" t="s">
        <v>373</v>
      </c>
      <c r="F16" s="108" t="s">
        <v>373</v>
      </c>
      <c r="G16" s="108" t="s">
        <v>373</v>
      </c>
      <c r="H16" s="108" t="s">
        <v>373</v>
      </c>
      <c r="I16" s="107" t="s">
        <v>373</v>
      </c>
      <c r="J16" s="107" t="s">
        <v>373</v>
      </c>
      <c r="K16" s="107" t="s">
        <v>373</v>
      </c>
      <c r="L16" s="107"/>
      <c r="M16" s="107"/>
      <c r="N16" s="107"/>
      <c r="O16" s="108"/>
      <c r="P16" s="108"/>
      <c r="Q16" s="108"/>
      <c r="R16" s="107"/>
      <c r="S16" s="107"/>
      <c r="T16" s="107"/>
      <c r="U16" s="213"/>
    </row>
    <row r="17" spans="2:21" x14ac:dyDescent="0.25">
      <c r="B17" s="107" t="s">
        <v>370</v>
      </c>
      <c r="C17" s="107">
        <v>0.1</v>
      </c>
      <c r="D17" s="107">
        <v>0.1</v>
      </c>
      <c r="E17" s="107">
        <v>0.1</v>
      </c>
      <c r="F17" s="108">
        <v>0.1</v>
      </c>
      <c r="G17" s="108">
        <v>0.1</v>
      </c>
      <c r="H17" s="108">
        <v>0.1</v>
      </c>
      <c r="I17" s="107">
        <v>0.1</v>
      </c>
      <c r="J17" s="107">
        <v>0.1</v>
      </c>
      <c r="K17" s="107">
        <v>0.1</v>
      </c>
      <c r="L17" s="107"/>
      <c r="M17" s="107"/>
      <c r="N17" s="107"/>
      <c r="O17" s="108"/>
      <c r="P17" s="108"/>
      <c r="Q17" s="108"/>
      <c r="R17" s="107"/>
      <c r="S17" s="107"/>
      <c r="T17" s="107"/>
      <c r="U17" s="213"/>
    </row>
    <row r="18" spans="2:21" x14ac:dyDescent="0.25">
      <c r="B18" s="107" t="s">
        <v>371</v>
      </c>
      <c r="C18" s="107">
        <v>0.3</v>
      </c>
      <c r="D18" s="107">
        <v>0.4</v>
      </c>
      <c r="E18" s="107">
        <v>0.5</v>
      </c>
      <c r="F18" s="108">
        <v>0.3</v>
      </c>
      <c r="G18" s="108">
        <v>0.4</v>
      </c>
      <c r="H18" s="108">
        <v>0.5</v>
      </c>
      <c r="I18" s="107">
        <v>0.3</v>
      </c>
      <c r="J18" s="107">
        <v>0.4</v>
      </c>
      <c r="K18" s="107">
        <v>0.5</v>
      </c>
      <c r="L18" s="107"/>
      <c r="M18" s="107"/>
      <c r="N18" s="107"/>
      <c r="O18" s="108"/>
      <c r="P18" s="108"/>
      <c r="Q18" s="108"/>
      <c r="R18" s="107"/>
      <c r="S18" s="107"/>
      <c r="T18" s="107"/>
      <c r="U18" s="213"/>
    </row>
    <row r="19" spans="2:21" x14ac:dyDescent="0.25">
      <c r="B19" s="107" t="s">
        <v>374</v>
      </c>
      <c r="C19" s="214" t="s">
        <v>375</v>
      </c>
      <c r="D19" s="214"/>
      <c r="E19" s="214"/>
      <c r="F19" s="214"/>
      <c r="G19" s="214"/>
      <c r="H19" s="214"/>
      <c r="I19" s="214"/>
      <c r="J19" s="214"/>
      <c r="K19" s="214"/>
      <c r="L19" s="214" t="s">
        <v>376</v>
      </c>
      <c r="M19" s="214"/>
      <c r="N19" s="214"/>
      <c r="O19" s="214"/>
      <c r="P19" s="214"/>
      <c r="Q19" s="214"/>
      <c r="R19" s="214"/>
      <c r="S19" s="214"/>
      <c r="T19" s="214"/>
      <c r="U19" s="213"/>
    </row>
    <row r="20" spans="2:21" x14ac:dyDescent="0.25">
      <c r="B20" s="75"/>
    </row>
    <row r="22" spans="2:21" x14ac:dyDescent="0.25">
      <c r="B22" s="75"/>
    </row>
  </sheetData>
  <mergeCells count="15">
    <mergeCell ref="C2:K2"/>
    <mergeCell ref="L2:T2"/>
    <mergeCell ref="C3:E3"/>
    <mergeCell ref="F3:K3"/>
    <mergeCell ref="L3:N3"/>
    <mergeCell ref="O3:T3"/>
    <mergeCell ref="U13:U19"/>
    <mergeCell ref="C19:K19"/>
    <mergeCell ref="L19:T19"/>
    <mergeCell ref="C5:E5"/>
    <mergeCell ref="F5:H5"/>
    <mergeCell ref="I5:K5"/>
    <mergeCell ref="L5:N5"/>
    <mergeCell ref="O5:Q5"/>
    <mergeCell ref="R5:T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B2:H25"/>
  <sheetViews>
    <sheetView showGridLines="0" workbookViewId="0">
      <selection activeCell="G29" sqref="G29"/>
    </sheetView>
  </sheetViews>
  <sheetFormatPr defaultRowHeight="15" x14ac:dyDescent="0.25"/>
  <cols>
    <col min="2" max="2" width="24.5703125" bestFit="1" customWidth="1"/>
    <col min="3" max="8" width="24.42578125" bestFit="1" customWidth="1"/>
  </cols>
  <sheetData>
    <row r="2" spans="2:8" x14ac:dyDescent="0.25">
      <c r="B2" s="217" t="s">
        <v>10</v>
      </c>
      <c r="C2" s="217"/>
      <c r="D2" s="217"/>
      <c r="E2" s="217"/>
      <c r="F2" s="217"/>
      <c r="G2" s="217"/>
      <c r="H2" s="217"/>
    </row>
    <row r="3" spans="2:8" x14ac:dyDescent="0.25">
      <c r="B3" s="131" t="s">
        <v>634</v>
      </c>
      <c r="C3" s="132" t="s">
        <v>635</v>
      </c>
      <c r="D3" s="133" t="s">
        <v>636</v>
      </c>
      <c r="E3" s="132" t="s">
        <v>637</v>
      </c>
      <c r="F3" s="132" t="s">
        <v>637</v>
      </c>
      <c r="G3" s="132" t="s">
        <v>638</v>
      </c>
      <c r="H3" s="132" t="s">
        <v>638</v>
      </c>
    </row>
    <row r="4" spans="2:8" ht="25.5" customHeight="1" x14ac:dyDescent="0.25">
      <c r="B4" s="134" t="s">
        <v>639</v>
      </c>
      <c r="C4" s="133" t="s">
        <v>536</v>
      </c>
      <c r="D4" s="133" t="s">
        <v>535</v>
      </c>
      <c r="E4" s="132" t="s">
        <v>536</v>
      </c>
      <c r="F4" s="133" t="s">
        <v>535</v>
      </c>
      <c r="G4" s="132" t="s">
        <v>536</v>
      </c>
      <c r="H4" s="133" t="s">
        <v>535</v>
      </c>
    </row>
    <row r="5" spans="2:8" x14ac:dyDescent="0.25">
      <c r="B5" s="131" t="s">
        <v>640</v>
      </c>
      <c r="C5" s="135">
        <v>0.4</v>
      </c>
      <c r="D5" s="135">
        <v>0.4</v>
      </c>
      <c r="E5" s="135">
        <v>0.4</v>
      </c>
      <c r="F5" s="135">
        <v>0.4</v>
      </c>
      <c r="G5" s="135">
        <v>0.4</v>
      </c>
      <c r="H5" s="135">
        <v>0.4</v>
      </c>
    </row>
    <row r="6" spans="2:8" ht="25.5" customHeight="1" x14ac:dyDescent="0.25">
      <c r="B6" s="136" t="s">
        <v>641</v>
      </c>
      <c r="C6" s="137" t="s">
        <v>642</v>
      </c>
      <c r="D6" s="138" t="s">
        <v>642</v>
      </c>
      <c r="E6" s="138" t="s">
        <v>643</v>
      </c>
      <c r="F6" s="138" t="s">
        <v>643</v>
      </c>
      <c r="G6" s="138" t="s">
        <v>644</v>
      </c>
      <c r="H6" s="138" t="s">
        <v>645</v>
      </c>
    </row>
    <row r="7" spans="2:8" x14ac:dyDescent="0.25">
      <c r="B7" s="186" t="s">
        <v>646</v>
      </c>
      <c r="C7" s="187">
        <v>1</v>
      </c>
      <c r="D7" s="188">
        <v>1</v>
      </c>
      <c r="E7" s="187">
        <v>1</v>
      </c>
      <c r="F7" s="187">
        <v>1</v>
      </c>
      <c r="G7" s="187">
        <v>2</v>
      </c>
      <c r="H7" s="187">
        <v>2</v>
      </c>
    </row>
    <row r="8" spans="2:8" x14ac:dyDescent="0.25">
      <c r="B8" s="189" t="s">
        <v>679</v>
      </c>
      <c r="C8" s="189" t="s">
        <v>647</v>
      </c>
      <c r="D8" s="189" t="s">
        <v>648</v>
      </c>
      <c r="E8" s="189" t="s">
        <v>647</v>
      </c>
      <c r="F8" s="189" t="s">
        <v>648</v>
      </c>
      <c r="G8" s="189" t="s">
        <v>647</v>
      </c>
      <c r="H8" s="189" t="s">
        <v>647</v>
      </c>
    </row>
    <row r="9" spans="2:8" x14ac:dyDescent="0.25">
      <c r="B9" s="189" t="s">
        <v>681</v>
      </c>
      <c r="C9" s="189">
        <v>539</v>
      </c>
      <c r="D9" s="189">
        <v>540</v>
      </c>
      <c r="E9" s="189">
        <v>539</v>
      </c>
      <c r="F9" s="189">
        <v>540</v>
      </c>
      <c r="G9" s="189">
        <v>539</v>
      </c>
      <c r="H9" s="189">
        <v>539</v>
      </c>
    </row>
    <row r="10" spans="2:8" x14ac:dyDescent="0.25">
      <c r="B10" s="190" t="s">
        <v>680</v>
      </c>
      <c r="C10" s="190">
        <v>1</v>
      </c>
      <c r="D10" s="190">
        <v>1</v>
      </c>
      <c r="E10" s="190">
        <v>1</v>
      </c>
      <c r="F10" s="190">
        <v>1</v>
      </c>
      <c r="G10" s="190">
        <v>1</v>
      </c>
      <c r="H10" s="190">
        <v>1</v>
      </c>
    </row>
    <row r="11" spans="2:8" x14ac:dyDescent="0.25">
      <c r="B11" s="190" t="s">
        <v>682</v>
      </c>
      <c r="C11" s="190">
        <v>1546</v>
      </c>
      <c r="D11" s="190">
        <v>1546</v>
      </c>
      <c r="E11" s="190">
        <v>1546</v>
      </c>
      <c r="F11" s="190">
        <v>1546</v>
      </c>
      <c r="G11" s="190">
        <v>1546</v>
      </c>
      <c r="H11" s="190">
        <v>1546</v>
      </c>
    </row>
    <row r="12" spans="2:8" ht="25.5" x14ac:dyDescent="0.25">
      <c r="B12" s="191" t="s">
        <v>683</v>
      </c>
      <c r="C12" s="191">
        <v>1</v>
      </c>
      <c r="D12" s="191">
        <v>1</v>
      </c>
      <c r="E12" s="191">
        <v>1</v>
      </c>
      <c r="F12" s="191">
        <v>1</v>
      </c>
      <c r="G12" s="191">
        <v>2</v>
      </c>
      <c r="H12" s="191">
        <v>2</v>
      </c>
    </row>
    <row r="13" spans="2:8" x14ac:dyDescent="0.25">
      <c r="B13" s="191" t="s">
        <v>684</v>
      </c>
      <c r="C13" s="191">
        <v>1547</v>
      </c>
      <c r="D13" s="191">
        <v>1547</v>
      </c>
      <c r="E13" s="191">
        <v>1547</v>
      </c>
      <c r="F13" s="191">
        <v>1547</v>
      </c>
      <c r="G13" s="191">
        <v>1547</v>
      </c>
      <c r="H13" s="191">
        <v>1547</v>
      </c>
    </row>
    <row r="16" spans="2:8" x14ac:dyDescent="0.25">
      <c r="B16" s="218" t="s">
        <v>11</v>
      </c>
      <c r="C16" s="218"/>
      <c r="D16" s="218"/>
      <c r="E16" s="218"/>
      <c r="F16" s="185"/>
      <c r="G16" s="185"/>
      <c r="H16" s="185"/>
    </row>
    <row r="17" spans="2:8" x14ac:dyDescent="0.25">
      <c r="B17" s="131" t="s">
        <v>634</v>
      </c>
      <c r="C17" s="132" t="s">
        <v>649</v>
      </c>
      <c r="D17" s="132" t="s">
        <v>685</v>
      </c>
      <c r="E17" s="132" t="s">
        <v>686</v>
      </c>
      <c r="F17" s="185"/>
      <c r="G17" s="185"/>
      <c r="H17" s="185"/>
    </row>
    <row r="18" spans="2:8" x14ac:dyDescent="0.25">
      <c r="B18" s="136" t="s">
        <v>653</v>
      </c>
      <c r="C18" s="132" t="s">
        <v>650</v>
      </c>
      <c r="D18" s="132" t="s">
        <v>651</v>
      </c>
      <c r="E18" s="132" t="s">
        <v>651</v>
      </c>
      <c r="F18" s="185"/>
      <c r="G18" s="185"/>
      <c r="H18" s="185"/>
    </row>
    <row r="19" spans="2:8" x14ac:dyDescent="0.25">
      <c r="B19" s="186" t="s">
        <v>646</v>
      </c>
      <c r="C19" s="187">
        <v>1</v>
      </c>
      <c r="D19" s="193">
        <v>2</v>
      </c>
      <c r="E19" s="193">
        <v>2</v>
      </c>
      <c r="F19" s="185"/>
      <c r="G19" s="185"/>
      <c r="H19" s="185"/>
    </row>
    <row r="20" spans="2:8" x14ac:dyDescent="0.25">
      <c r="B20" s="189" t="s">
        <v>679</v>
      </c>
      <c r="C20" s="189" t="s">
        <v>652</v>
      </c>
      <c r="D20" s="192" t="s">
        <v>678</v>
      </c>
      <c r="E20" s="192" t="s">
        <v>678</v>
      </c>
      <c r="F20" s="185"/>
      <c r="G20" s="185"/>
      <c r="H20" s="185"/>
    </row>
    <row r="21" spans="2:8" x14ac:dyDescent="0.25">
      <c r="B21" s="189" t="s">
        <v>681</v>
      </c>
      <c r="C21" s="189">
        <v>539</v>
      </c>
      <c r="D21" s="189">
        <v>1545</v>
      </c>
      <c r="E21" s="189">
        <v>1545</v>
      </c>
      <c r="F21" s="185"/>
      <c r="G21" s="185"/>
      <c r="H21" s="185"/>
    </row>
    <row r="22" spans="2:8" x14ac:dyDescent="0.25">
      <c r="B22" s="190" t="s">
        <v>680</v>
      </c>
      <c r="C22" s="190">
        <v>1</v>
      </c>
      <c r="D22" s="190">
        <v>1</v>
      </c>
      <c r="E22" s="190">
        <v>2</v>
      </c>
    </row>
    <row r="23" spans="2:8" x14ac:dyDescent="0.25">
      <c r="B23" s="190" t="s">
        <v>682</v>
      </c>
      <c r="C23" s="190">
        <v>1546</v>
      </c>
      <c r="D23" s="190">
        <v>1546</v>
      </c>
      <c r="E23" s="190">
        <v>1548</v>
      </c>
    </row>
    <row r="24" spans="2:8" ht="25.5" x14ac:dyDescent="0.25">
      <c r="B24" s="191" t="s">
        <v>683</v>
      </c>
      <c r="C24" s="191">
        <v>1</v>
      </c>
      <c r="D24" s="191">
        <v>2</v>
      </c>
      <c r="E24" s="191">
        <v>2</v>
      </c>
    </row>
    <row r="25" spans="2:8" x14ac:dyDescent="0.25">
      <c r="B25" s="191" t="s">
        <v>684</v>
      </c>
      <c r="C25" s="191">
        <v>1547</v>
      </c>
      <c r="D25" s="191">
        <v>1547</v>
      </c>
      <c r="E25" s="191">
        <v>1547</v>
      </c>
    </row>
  </sheetData>
  <mergeCells count="2">
    <mergeCell ref="B2:H2"/>
    <mergeCell ref="B16:E1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L44"/>
  <sheetViews>
    <sheetView showGridLines="0" topLeftCell="B1" zoomScale="85" zoomScaleNormal="85" workbookViewId="0">
      <selection activeCell="D5" sqref="D5"/>
    </sheetView>
  </sheetViews>
  <sheetFormatPr defaultRowHeight="15" x14ac:dyDescent="0.25"/>
  <cols>
    <col min="1" max="1" width="9.140625" style="11"/>
    <col min="2" max="2" width="52.7109375" style="11" bestFit="1" customWidth="1"/>
    <col min="3" max="3" width="11.85546875" style="11" bestFit="1" customWidth="1"/>
    <col min="4" max="4" width="78.7109375" style="11" bestFit="1" customWidth="1"/>
    <col min="5" max="5" width="45.7109375" style="11" bestFit="1" customWidth="1"/>
    <col min="6" max="6" width="16.42578125" style="11" bestFit="1" customWidth="1"/>
    <col min="7" max="7" width="15.28515625" style="11" bestFit="1" customWidth="1"/>
    <col min="8" max="8" width="19.85546875" style="11" bestFit="1" customWidth="1"/>
    <col min="9" max="9" width="14.85546875" style="11" bestFit="1" customWidth="1"/>
    <col min="10" max="10" width="8.85546875" style="11" bestFit="1" customWidth="1"/>
    <col min="11" max="11" width="7.42578125" style="11" bestFit="1" customWidth="1"/>
    <col min="12" max="12" width="12.140625" style="11" bestFit="1" customWidth="1"/>
    <col min="13" max="16384" width="9.140625" style="11"/>
  </cols>
  <sheetData>
    <row r="2" spans="2:12" x14ac:dyDescent="0.25">
      <c r="B2" s="18" t="s">
        <v>142</v>
      </c>
      <c r="C2" s="18" t="s">
        <v>141</v>
      </c>
      <c r="D2" s="18" t="s">
        <v>140</v>
      </c>
      <c r="E2" s="18" t="s">
        <v>139</v>
      </c>
      <c r="F2" s="18" t="s">
        <v>138</v>
      </c>
      <c r="G2" s="18" t="s">
        <v>137</v>
      </c>
      <c r="H2" s="18" t="s">
        <v>136</v>
      </c>
      <c r="I2" s="18" t="s">
        <v>135</v>
      </c>
      <c r="J2" s="18" t="s">
        <v>134</v>
      </c>
      <c r="K2" s="18" t="s">
        <v>133</v>
      </c>
      <c r="L2" s="18" t="s">
        <v>132</v>
      </c>
    </row>
    <row r="3" spans="2:12" x14ac:dyDescent="0.25">
      <c r="B3" s="219" t="s">
        <v>131</v>
      </c>
      <c r="C3" s="12" t="s">
        <v>116</v>
      </c>
      <c r="D3" s="12" t="s">
        <v>130</v>
      </c>
      <c r="E3" s="12" t="s">
        <v>109</v>
      </c>
      <c r="F3" s="12" t="s">
        <v>122</v>
      </c>
      <c r="G3" s="12">
        <v>382</v>
      </c>
      <c r="H3" s="12">
        <v>546</v>
      </c>
      <c r="I3" s="12">
        <v>2250</v>
      </c>
      <c r="J3" s="12">
        <v>1300</v>
      </c>
      <c r="K3" s="12">
        <v>1200</v>
      </c>
      <c r="L3" s="12">
        <v>3.51</v>
      </c>
    </row>
    <row r="4" spans="2:12" x14ac:dyDescent="0.25">
      <c r="B4" s="220"/>
      <c r="C4" s="12" t="s">
        <v>116</v>
      </c>
      <c r="D4" s="12" t="s">
        <v>130</v>
      </c>
      <c r="E4" s="12" t="s">
        <v>106</v>
      </c>
      <c r="F4" s="12" t="s">
        <v>122</v>
      </c>
      <c r="G4" s="12">
        <v>210</v>
      </c>
      <c r="H4" s="12">
        <v>281</v>
      </c>
      <c r="I4" s="12">
        <v>2400</v>
      </c>
      <c r="J4" s="12">
        <v>650</v>
      </c>
      <c r="K4" s="12">
        <v>700</v>
      </c>
      <c r="L4" s="12">
        <v>1.0920000000000001</v>
      </c>
    </row>
    <row r="5" spans="2:12" x14ac:dyDescent="0.25">
      <c r="B5" s="220"/>
      <c r="C5" s="12" t="s">
        <v>105</v>
      </c>
      <c r="D5" s="12" t="s">
        <v>104</v>
      </c>
      <c r="E5" s="12"/>
      <c r="F5" s="12"/>
      <c r="G5" s="12">
        <v>22</v>
      </c>
      <c r="H5" s="12"/>
      <c r="I5" s="12"/>
      <c r="J5" s="12"/>
      <c r="K5" s="12"/>
      <c r="L5" s="12">
        <v>0</v>
      </c>
    </row>
    <row r="6" spans="2:12" x14ac:dyDescent="0.25">
      <c r="B6" s="220"/>
      <c r="C6" s="12" t="s">
        <v>103</v>
      </c>
      <c r="D6" s="12" t="s">
        <v>102</v>
      </c>
      <c r="E6" s="12"/>
      <c r="F6" s="12"/>
      <c r="G6" s="12">
        <v>6</v>
      </c>
      <c r="H6" s="12"/>
      <c r="I6" s="12"/>
      <c r="J6" s="12"/>
      <c r="K6" s="12"/>
      <c r="L6" s="12">
        <v>0</v>
      </c>
    </row>
    <row r="7" spans="2:12" x14ac:dyDescent="0.25">
      <c r="B7" s="220"/>
      <c r="C7" s="12" t="s">
        <v>101</v>
      </c>
      <c r="D7" s="12" t="s">
        <v>100</v>
      </c>
      <c r="E7" s="12"/>
      <c r="F7" s="12"/>
      <c r="G7" s="12">
        <v>3.4</v>
      </c>
      <c r="H7" s="12"/>
      <c r="I7" s="12"/>
      <c r="J7" s="12"/>
      <c r="K7" s="12"/>
      <c r="L7" s="12">
        <v>0</v>
      </c>
    </row>
    <row r="8" spans="2:12" x14ac:dyDescent="0.25">
      <c r="B8" s="220"/>
      <c r="C8" s="12" t="s">
        <v>99</v>
      </c>
      <c r="D8" s="12" t="s">
        <v>98</v>
      </c>
      <c r="E8" s="12"/>
      <c r="F8" s="12"/>
      <c r="G8" s="12">
        <v>0.8</v>
      </c>
      <c r="H8" s="12"/>
      <c r="I8" s="12"/>
      <c r="J8" s="12"/>
      <c r="K8" s="12"/>
      <c r="L8" s="12">
        <v>0</v>
      </c>
    </row>
    <row r="9" spans="2:12" x14ac:dyDescent="0.25">
      <c r="B9" s="220"/>
      <c r="C9" s="12" t="s">
        <v>97</v>
      </c>
      <c r="D9" s="12" t="s">
        <v>96</v>
      </c>
      <c r="E9" s="12"/>
      <c r="F9" s="12"/>
      <c r="G9" s="12">
        <v>0.5</v>
      </c>
      <c r="H9" s="12"/>
      <c r="I9" s="12"/>
      <c r="J9" s="12"/>
      <c r="K9" s="12"/>
      <c r="L9" s="12">
        <v>0</v>
      </c>
    </row>
    <row r="10" spans="2:12" x14ac:dyDescent="0.25">
      <c r="B10" s="220"/>
      <c r="C10" s="12" t="s">
        <v>95</v>
      </c>
      <c r="D10" s="12" t="s">
        <v>94</v>
      </c>
      <c r="E10" s="12"/>
      <c r="F10" s="12"/>
      <c r="G10" s="12">
        <v>23</v>
      </c>
      <c r="H10" s="12"/>
      <c r="I10" s="12"/>
      <c r="J10" s="12"/>
      <c r="K10" s="12"/>
      <c r="L10" s="12">
        <v>0</v>
      </c>
    </row>
    <row r="11" spans="2:12" x14ac:dyDescent="0.25">
      <c r="B11" s="220"/>
      <c r="C11" s="12" t="s">
        <v>113</v>
      </c>
      <c r="D11" s="17" t="s">
        <v>89</v>
      </c>
      <c r="E11" s="15" t="s">
        <v>86</v>
      </c>
      <c r="F11" s="12"/>
      <c r="G11" s="12">
        <v>88.5</v>
      </c>
      <c r="H11" s="12">
        <v>102</v>
      </c>
      <c r="I11" s="12"/>
      <c r="J11" s="12"/>
      <c r="K11" s="12"/>
      <c r="L11" s="12">
        <v>0</v>
      </c>
    </row>
    <row r="12" spans="2:12" x14ac:dyDescent="0.25">
      <c r="B12" s="221"/>
      <c r="C12" s="13"/>
      <c r="D12" s="14" t="s">
        <v>93</v>
      </c>
      <c r="E12" s="13"/>
      <c r="F12" s="13"/>
      <c r="G12" s="13">
        <f>SUM(G3:G11)</f>
        <v>736.19999999999993</v>
      </c>
      <c r="H12" s="13"/>
      <c r="I12" s="13"/>
      <c r="J12" s="13"/>
      <c r="K12" s="13"/>
      <c r="L12" s="13"/>
    </row>
    <row r="13" spans="2:12" x14ac:dyDescent="0.25">
      <c r="B13" s="219" t="s">
        <v>129</v>
      </c>
      <c r="C13" s="12" t="s">
        <v>128</v>
      </c>
      <c r="D13" s="12" t="s">
        <v>127</v>
      </c>
      <c r="E13" s="12" t="s">
        <v>126</v>
      </c>
      <c r="F13" s="12" t="s">
        <v>122</v>
      </c>
      <c r="G13" s="12">
        <v>126</v>
      </c>
      <c r="H13" s="12">
        <v>139</v>
      </c>
      <c r="I13" s="12">
        <v>1200</v>
      </c>
      <c r="J13" s="12">
        <v>800</v>
      </c>
      <c r="K13" s="12">
        <v>500</v>
      </c>
      <c r="L13" s="12">
        <v>0.48</v>
      </c>
    </row>
    <row r="14" spans="2:12" x14ac:dyDescent="0.25">
      <c r="B14" s="221"/>
      <c r="C14" s="13"/>
      <c r="D14" s="14" t="s">
        <v>93</v>
      </c>
      <c r="E14" s="13"/>
      <c r="F14" s="13"/>
      <c r="G14" s="13">
        <f>SUM(G13)</f>
        <v>126</v>
      </c>
      <c r="H14" s="13"/>
      <c r="I14" s="13"/>
      <c r="J14" s="13"/>
      <c r="K14" s="13"/>
      <c r="L14" s="13"/>
    </row>
    <row r="15" spans="2:12" x14ac:dyDescent="0.25">
      <c r="B15" s="219" t="s">
        <v>125</v>
      </c>
      <c r="C15" s="12" t="s">
        <v>124</v>
      </c>
      <c r="D15" s="12" t="s">
        <v>123</v>
      </c>
      <c r="E15" s="12"/>
      <c r="F15" s="12" t="s">
        <v>122</v>
      </c>
      <c r="G15" s="12">
        <v>149</v>
      </c>
      <c r="H15" s="12">
        <v>162</v>
      </c>
      <c r="I15" s="12">
        <v>2900</v>
      </c>
      <c r="J15" s="12">
        <v>800</v>
      </c>
      <c r="K15" s="12">
        <v>400</v>
      </c>
      <c r="L15" s="12">
        <v>0.92800000000000005</v>
      </c>
    </row>
    <row r="16" spans="2:12" x14ac:dyDescent="0.25">
      <c r="B16" s="220"/>
      <c r="C16" s="12" t="s">
        <v>105</v>
      </c>
      <c r="D16" s="12" t="s">
        <v>121</v>
      </c>
      <c r="E16" s="12"/>
      <c r="F16" s="12"/>
      <c r="G16" s="12">
        <v>11</v>
      </c>
      <c r="H16" s="12"/>
      <c r="I16" s="12"/>
      <c r="J16" s="12"/>
      <c r="K16" s="12"/>
      <c r="L16" s="12">
        <v>0</v>
      </c>
    </row>
    <row r="17" spans="2:12" x14ac:dyDescent="0.25">
      <c r="B17" s="220"/>
      <c r="C17" s="12" t="s">
        <v>103</v>
      </c>
      <c r="D17" s="12" t="s">
        <v>120</v>
      </c>
      <c r="E17" s="12"/>
      <c r="F17" s="12"/>
      <c r="G17" s="12">
        <v>3</v>
      </c>
      <c r="H17" s="12"/>
      <c r="I17" s="12"/>
      <c r="J17" s="12"/>
      <c r="K17" s="12"/>
      <c r="L17" s="12">
        <v>0</v>
      </c>
    </row>
    <row r="18" spans="2:12" x14ac:dyDescent="0.25">
      <c r="B18" s="220"/>
      <c r="C18" s="12" t="s">
        <v>101</v>
      </c>
      <c r="D18" s="12" t="s">
        <v>100</v>
      </c>
      <c r="E18" s="12"/>
      <c r="F18" s="12"/>
      <c r="G18" s="12">
        <v>3.4</v>
      </c>
      <c r="H18" s="12"/>
      <c r="I18" s="12"/>
      <c r="J18" s="12"/>
      <c r="K18" s="12"/>
      <c r="L18" s="12">
        <v>0</v>
      </c>
    </row>
    <row r="19" spans="2:12" x14ac:dyDescent="0.25">
      <c r="B19" s="220"/>
      <c r="C19" s="12" t="s">
        <v>119</v>
      </c>
      <c r="D19" s="12" t="s">
        <v>118</v>
      </c>
      <c r="E19" s="12"/>
      <c r="F19" s="12"/>
      <c r="G19" s="12">
        <v>0.8</v>
      </c>
      <c r="H19" s="12"/>
      <c r="I19" s="12"/>
      <c r="J19" s="12"/>
      <c r="K19" s="12"/>
      <c r="L19" s="12">
        <v>0</v>
      </c>
    </row>
    <row r="20" spans="2:12" x14ac:dyDescent="0.25">
      <c r="B20" s="220"/>
      <c r="C20" s="12" t="s">
        <v>97</v>
      </c>
      <c r="D20" s="12" t="s">
        <v>96</v>
      </c>
      <c r="E20" s="12"/>
      <c r="F20" s="12"/>
      <c r="G20" s="12">
        <v>0.5</v>
      </c>
      <c r="H20" s="12"/>
      <c r="I20" s="12"/>
      <c r="J20" s="12"/>
      <c r="K20" s="12"/>
      <c r="L20" s="12">
        <v>0</v>
      </c>
    </row>
    <row r="21" spans="2:12" x14ac:dyDescent="0.25">
      <c r="B21" s="221"/>
      <c r="C21" s="13"/>
      <c r="D21" s="14" t="s">
        <v>93</v>
      </c>
      <c r="E21" s="13"/>
      <c r="F21" s="13"/>
      <c r="G21" s="13">
        <f>SUM(G15:G20)</f>
        <v>167.70000000000002</v>
      </c>
      <c r="H21" s="13"/>
      <c r="I21" s="13"/>
      <c r="J21" s="13"/>
      <c r="K21" s="13"/>
      <c r="L21" s="13"/>
    </row>
    <row r="22" spans="2:12" x14ac:dyDescent="0.25">
      <c r="B22" s="219" t="s">
        <v>117</v>
      </c>
      <c r="C22" s="12" t="s">
        <v>116</v>
      </c>
      <c r="D22" s="12" t="s">
        <v>115</v>
      </c>
      <c r="E22" s="12" t="s">
        <v>109</v>
      </c>
      <c r="F22" s="12" t="s">
        <v>114</v>
      </c>
      <c r="G22" s="12">
        <v>308</v>
      </c>
      <c r="H22" s="12">
        <v>420</v>
      </c>
      <c r="I22" s="12"/>
      <c r="J22" s="12"/>
      <c r="K22" s="12"/>
      <c r="L22" s="12"/>
    </row>
    <row r="23" spans="2:12" x14ac:dyDescent="0.25">
      <c r="B23" s="220"/>
      <c r="C23" s="12" t="s">
        <v>116</v>
      </c>
      <c r="D23" s="12" t="s">
        <v>115</v>
      </c>
      <c r="E23" s="12" t="s">
        <v>106</v>
      </c>
      <c r="F23" s="12" t="s">
        <v>114</v>
      </c>
      <c r="G23" s="12">
        <v>161</v>
      </c>
      <c r="H23" s="12">
        <v>243</v>
      </c>
      <c r="I23" s="12"/>
      <c r="J23" s="12"/>
      <c r="K23" s="12"/>
      <c r="L23" s="12"/>
    </row>
    <row r="24" spans="2:12" x14ac:dyDescent="0.25">
      <c r="B24" s="220"/>
      <c r="C24" s="12" t="s">
        <v>105</v>
      </c>
      <c r="D24" s="12" t="s">
        <v>104</v>
      </c>
      <c r="E24" s="12"/>
      <c r="F24" s="12"/>
      <c r="G24" s="12">
        <v>22</v>
      </c>
      <c r="H24" s="12"/>
      <c r="I24" s="12"/>
      <c r="J24" s="12"/>
      <c r="K24" s="12"/>
      <c r="L24" s="12">
        <v>0</v>
      </c>
    </row>
    <row r="25" spans="2:12" x14ac:dyDescent="0.25">
      <c r="B25" s="220"/>
      <c r="C25" s="12" t="s">
        <v>103</v>
      </c>
      <c r="D25" s="12" t="s">
        <v>102</v>
      </c>
      <c r="E25" s="12"/>
      <c r="F25" s="12"/>
      <c r="G25" s="12">
        <v>6</v>
      </c>
      <c r="H25" s="12"/>
      <c r="I25" s="12"/>
      <c r="J25" s="12"/>
      <c r="K25" s="12"/>
      <c r="L25" s="12">
        <v>0</v>
      </c>
    </row>
    <row r="26" spans="2:12" x14ac:dyDescent="0.25">
      <c r="B26" s="220"/>
      <c r="C26" s="12" t="s">
        <v>101</v>
      </c>
      <c r="D26" s="12" t="s">
        <v>100</v>
      </c>
      <c r="E26" s="12"/>
      <c r="F26" s="12"/>
      <c r="G26" s="12">
        <v>3.4</v>
      </c>
      <c r="H26" s="12"/>
      <c r="I26" s="12"/>
      <c r="J26" s="12"/>
      <c r="K26" s="12"/>
      <c r="L26" s="12">
        <v>0</v>
      </c>
    </row>
    <row r="27" spans="2:12" x14ac:dyDescent="0.25">
      <c r="B27" s="220"/>
      <c r="C27" s="12" t="s">
        <v>99</v>
      </c>
      <c r="D27" s="12" t="s">
        <v>98</v>
      </c>
      <c r="E27" s="12"/>
      <c r="F27" s="12"/>
      <c r="G27" s="12">
        <v>0.8</v>
      </c>
      <c r="H27" s="12"/>
      <c r="I27" s="12"/>
      <c r="J27" s="12"/>
      <c r="K27" s="12"/>
      <c r="L27" s="12">
        <v>0</v>
      </c>
    </row>
    <row r="28" spans="2:12" x14ac:dyDescent="0.25">
      <c r="B28" s="220"/>
      <c r="C28" s="12" t="s">
        <v>97</v>
      </c>
      <c r="D28" s="12" t="s">
        <v>96</v>
      </c>
      <c r="E28" s="12"/>
      <c r="F28" s="12"/>
      <c r="G28" s="12">
        <v>0.5</v>
      </c>
      <c r="H28" s="12"/>
      <c r="I28" s="12"/>
      <c r="J28" s="12"/>
      <c r="K28" s="12"/>
      <c r="L28" s="12">
        <v>0</v>
      </c>
    </row>
    <row r="29" spans="2:12" x14ac:dyDescent="0.25">
      <c r="B29" s="220"/>
      <c r="C29" s="12" t="s">
        <v>95</v>
      </c>
      <c r="D29" s="12" t="s">
        <v>94</v>
      </c>
      <c r="E29" s="12"/>
      <c r="F29" s="12"/>
      <c r="G29" s="12">
        <v>23</v>
      </c>
      <c r="H29" s="12"/>
      <c r="I29" s="12"/>
      <c r="J29" s="12"/>
      <c r="K29" s="12"/>
      <c r="L29" s="12">
        <v>0</v>
      </c>
    </row>
    <row r="30" spans="2:12" x14ac:dyDescent="0.25">
      <c r="B30" s="220"/>
      <c r="C30" s="12" t="s">
        <v>113</v>
      </c>
      <c r="D30" s="12" t="s">
        <v>112</v>
      </c>
      <c r="E30" s="12" t="s">
        <v>111</v>
      </c>
      <c r="F30" s="12"/>
      <c r="G30" s="12">
        <v>88.5</v>
      </c>
      <c r="H30" s="12">
        <v>102</v>
      </c>
      <c r="I30" s="12"/>
      <c r="J30" s="12"/>
      <c r="K30" s="12"/>
      <c r="L30" s="12">
        <v>0</v>
      </c>
    </row>
    <row r="31" spans="2:12" x14ac:dyDescent="0.25">
      <c r="B31" s="221"/>
      <c r="C31" s="13"/>
      <c r="D31" s="14" t="s">
        <v>93</v>
      </c>
      <c r="E31" s="13"/>
      <c r="F31" s="13"/>
      <c r="G31" s="13">
        <f>SUM(G22:G30)</f>
        <v>613.20000000000005</v>
      </c>
      <c r="H31" s="13"/>
      <c r="I31" s="13"/>
      <c r="J31" s="13"/>
      <c r="K31" s="13"/>
      <c r="L31" s="13"/>
    </row>
    <row r="32" spans="2:12" x14ac:dyDescent="0.25">
      <c r="B32" s="219" t="s">
        <v>110</v>
      </c>
      <c r="C32" s="12" t="s">
        <v>108</v>
      </c>
      <c r="D32" s="12" t="s">
        <v>107</v>
      </c>
      <c r="E32" s="12" t="s">
        <v>109</v>
      </c>
      <c r="F32" s="12"/>
      <c r="G32" s="12">
        <v>448</v>
      </c>
      <c r="H32" s="12">
        <v>616</v>
      </c>
      <c r="I32" s="12"/>
      <c r="J32" s="12"/>
      <c r="K32" s="12"/>
      <c r="L32" s="12"/>
    </row>
    <row r="33" spans="2:12" x14ac:dyDescent="0.25">
      <c r="B33" s="220"/>
      <c r="C33" s="12" t="s">
        <v>108</v>
      </c>
      <c r="D33" s="12" t="s">
        <v>107</v>
      </c>
      <c r="E33" s="12" t="s">
        <v>106</v>
      </c>
      <c r="F33" s="12"/>
      <c r="G33" s="12">
        <v>205</v>
      </c>
      <c r="H33" s="12">
        <v>282</v>
      </c>
      <c r="I33" s="12"/>
      <c r="J33" s="12"/>
      <c r="K33" s="12"/>
      <c r="L33" s="12"/>
    </row>
    <row r="34" spans="2:12" x14ac:dyDescent="0.25">
      <c r="B34" s="220"/>
      <c r="C34" s="12" t="s">
        <v>105</v>
      </c>
      <c r="D34" s="12" t="s">
        <v>104</v>
      </c>
      <c r="E34" s="12"/>
      <c r="F34" s="12"/>
      <c r="G34" s="12">
        <v>22</v>
      </c>
      <c r="H34" s="12"/>
      <c r="I34" s="12"/>
      <c r="J34" s="12"/>
      <c r="K34" s="12"/>
      <c r="L34" s="12"/>
    </row>
    <row r="35" spans="2:12" x14ac:dyDescent="0.25">
      <c r="B35" s="220"/>
      <c r="C35" s="12" t="s">
        <v>103</v>
      </c>
      <c r="D35" s="12" t="s">
        <v>102</v>
      </c>
      <c r="E35" s="12"/>
      <c r="F35" s="12"/>
      <c r="G35" s="12">
        <v>6</v>
      </c>
      <c r="H35" s="12"/>
      <c r="I35" s="12"/>
      <c r="J35" s="12"/>
      <c r="K35" s="12"/>
      <c r="L35" s="12"/>
    </row>
    <row r="36" spans="2:12" x14ac:dyDescent="0.25">
      <c r="B36" s="220"/>
      <c r="C36" s="12" t="s">
        <v>101</v>
      </c>
      <c r="D36" s="12" t="s">
        <v>100</v>
      </c>
      <c r="E36" s="12"/>
      <c r="F36" s="12"/>
      <c r="G36" s="12">
        <v>3.4</v>
      </c>
      <c r="H36" s="12"/>
      <c r="I36" s="12"/>
      <c r="J36" s="12"/>
      <c r="K36" s="12"/>
      <c r="L36" s="12"/>
    </row>
    <row r="37" spans="2:12" x14ac:dyDescent="0.25">
      <c r="B37" s="220"/>
      <c r="C37" s="12" t="s">
        <v>99</v>
      </c>
      <c r="D37" s="12" t="s">
        <v>98</v>
      </c>
      <c r="E37" s="12"/>
      <c r="F37" s="12"/>
      <c r="G37" s="12">
        <v>0.8</v>
      </c>
      <c r="H37" s="12"/>
      <c r="I37" s="12"/>
      <c r="J37" s="12"/>
      <c r="K37" s="12"/>
      <c r="L37" s="12"/>
    </row>
    <row r="38" spans="2:12" x14ac:dyDescent="0.25">
      <c r="B38" s="220"/>
      <c r="C38" s="12" t="s">
        <v>97</v>
      </c>
      <c r="D38" s="12" t="s">
        <v>96</v>
      </c>
      <c r="E38" s="12"/>
      <c r="F38" s="12"/>
      <c r="G38" s="12">
        <v>0.5</v>
      </c>
      <c r="H38" s="12"/>
      <c r="I38" s="12"/>
      <c r="J38" s="12"/>
      <c r="K38" s="12"/>
      <c r="L38" s="12"/>
    </row>
    <row r="39" spans="2:12" x14ac:dyDescent="0.25">
      <c r="B39" s="220"/>
      <c r="C39" s="12" t="s">
        <v>95</v>
      </c>
      <c r="D39" s="12" t="s">
        <v>94</v>
      </c>
      <c r="E39" s="12"/>
      <c r="F39" s="12"/>
      <c r="G39" s="12">
        <v>23</v>
      </c>
      <c r="H39" s="12"/>
      <c r="I39" s="12"/>
      <c r="J39" s="12"/>
      <c r="K39" s="12"/>
      <c r="L39" s="12"/>
    </row>
    <row r="40" spans="2:12" x14ac:dyDescent="0.25">
      <c r="B40" s="220"/>
      <c r="C40" s="16" t="s">
        <v>88</v>
      </c>
      <c r="D40" s="12" t="s">
        <v>87</v>
      </c>
      <c r="E40" s="15" t="s">
        <v>86</v>
      </c>
      <c r="F40" s="12"/>
      <c r="G40" s="12">
        <v>130</v>
      </c>
      <c r="H40" s="12">
        <v>102</v>
      </c>
      <c r="I40" s="12"/>
      <c r="J40" s="12"/>
      <c r="K40" s="12"/>
      <c r="L40" s="12"/>
    </row>
    <row r="41" spans="2:12" x14ac:dyDescent="0.25">
      <c r="B41" s="221"/>
      <c r="C41" s="13"/>
      <c r="D41" s="14" t="s">
        <v>93</v>
      </c>
      <c r="E41" s="13"/>
      <c r="F41" s="13"/>
      <c r="G41" s="13">
        <f>SUM(G32:G40)</f>
        <v>838.69999999999993</v>
      </c>
      <c r="H41" s="13"/>
      <c r="I41" s="13"/>
      <c r="J41" s="13"/>
      <c r="K41" s="13"/>
      <c r="L41" s="13"/>
    </row>
    <row r="42" spans="2:12" x14ac:dyDescent="0.25">
      <c r="B42" s="12" t="s">
        <v>91</v>
      </c>
      <c r="C42" s="12" t="s">
        <v>92</v>
      </c>
      <c r="D42" s="12" t="s">
        <v>91</v>
      </c>
      <c r="E42" s="12" t="s">
        <v>86</v>
      </c>
      <c r="F42" s="12"/>
      <c r="G42" s="12">
        <v>77</v>
      </c>
      <c r="H42" s="12"/>
      <c r="I42" s="12"/>
      <c r="J42" s="12"/>
      <c r="K42" s="12"/>
      <c r="L42" s="12"/>
    </row>
    <row r="43" spans="2:12" x14ac:dyDescent="0.25">
      <c r="B43" s="12" t="s">
        <v>89</v>
      </c>
      <c r="C43" s="12" t="s">
        <v>90</v>
      </c>
      <c r="D43" s="12" t="s">
        <v>89</v>
      </c>
      <c r="E43" s="12" t="s">
        <v>86</v>
      </c>
      <c r="F43" s="12"/>
      <c r="G43" s="12">
        <v>88.5</v>
      </c>
      <c r="H43" s="12"/>
      <c r="I43" s="12"/>
      <c r="J43" s="12"/>
      <c r="K43" s="12"/>
      <c r="L43" s="12"/>
    </row>
    <row r="44" spans="2:12" x14ac:dyDescent="0.25">
      <c r="B44" s="12" t="s">
        <v>87</v>
      </c>
      <c r="C44" s="12" t="s">
        <v>88</v>
      </c>
      <c r="D44" s="12" t="s">
        <v>87</v>
      </c>
      <c r="E44" s="12" t="s">
        <v>86</v>
      </c>
      <c r="F44" s="12"/>
      <c r="G44" s="12">
        <v>130</v>
      </c>
      <c r="H44" s="12"/>
      <c r="I44" s="12"/>
      <c r="J44" s="12"/>
      <c r="K44" s="12"/>
      <c r="L44" s="12"/>
    </row>
  </sheetData>
  <mergeCells count="5">
    <mergeCell ref="B32:B41"/>
    <mergeCell ref="B3:B12"/>
    <mergeCell ref="B15:B21"/>
    <mergeCell ref="B22:B31"/>
    <mergeCell ref="B13:B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 filterMode="1"/>
  <dimension ref="B2:AC94"/>
  <sheetViews>
    <sheetView showGridLines="0" zoomScale="90" zoomScaleNormal="90" workbookViewId="0">
      <pane ySplit="3" topLeftCell="A4" activePane="bottomLeft" state="frozen"/>
      <selection pane="bottomLeft" activeCell="E3" sqref="E3"/>
    </sheetView>
  </sheetViews>
  <sheetFormatPr defaultColWidth="9.140625" defaultRowHeight="15" x14ac:dyDescent="0.25"/>
  <cols>
    <col min="1" max="1" width="5.7109375" style="160" customWidth="1"/>
    <col min="2" max="2" width="5.140625" style="160" bestFit="1" customWidth="1"/>
    <col min="3" max="3" width="10.140625" style="160" customWidth="1"/>
    <col min="4" max="5" width="9.5703125" style="160" customWidth="1"/>
    <col min="6" max="6" width="7.7109375" style="160" customWidth="1"/>
    <col min="7" max="7" width="8.28515625" style="160" customWidth="1"/>
    <col min="8" max="8" width="12.5703125" style="160" bestFit="1" customWidth="1"/>
    <col min="9" max="9" width="8" style="160" bestFit="1" customWidth="1"/>
    <col min="10" max="10" width="6.7109375" style="160" bestFit="1" customWidth="1"/>
    <col min="11" max="11" width="7.85546875" style="160" bestFit="1" customWidth="1"/>
    <col min="12" max="12" width="11.85546875" style="160" customWidth="1"/>
    <col min="13" max="13" width="11" style="160" customWidth="1"/>
    <col min="14" max="14" width="6.7109375" style="160" bestFit="1" customWidth="1"/>
    <col min="15" max="15" width="6.85546875" style="160" bestFit="1" customWidth="1"/>
    <col min="16" max="16" width="12.5703125" style="160" bestFit="1" customWidth="1"/>
    <col min="17" max="17" width="12.28515625" style="160" bestFit="1" customWidth="1"/>
    <col min="18" max="19" width="8.85546875" style="160" customWidth="1"/>
    <col min="20" max="20" width="12.85546875" style="160" bestFit="1" customWidth="1"/>
    <col min="21" max="21" width="9" style="160" bestFit="1" customWidth="1"/>
    <col min="22" max="22" width="10" style="160" bestFit="1" customWidth="1"/>
    <col min="23" max="23" width="9.85546875" style="160" bestFit="1" customWidth="1"/>
    <col min="24" max="16384" width="9.140625" style="160"/>
  </cols>
  <sheetData>
    <row r="2" spans="2:28" ht="48" x14ac:dyDescent="0.25">
      <c r="B2" s="184" t="s">
        <v>85</v>
      </c>
      <c r="C2" s="184" t="s">
        <v>670</v>
      </c>
      <c r="D2" s="184" t="s">
        <v>9</v>
      </c>
      <c r="E2" s="184" t="s">
        <v>84</v>
      </c>
      <c r="F2" s="184" t="s">
        <v>83</v>
      </c>
      <c r="G2" s="184" t="s">
        <v>82</v>
      </c>
      <c r="H2" s="184" t="s">
        <v>81</v>
      </c>
      <c r="I2" s="184" t="s">
        <v>80</v>
      </c>
      <c r="J2" s="184" t="s">
        <v>79</v>
      </c>
      <c r="K2" s="184" t="s">
        <v>78</v>
      </c>
      <c r="L2" s="184" t="s">
        <v>77</v>
      </c>
      <c r="M2" s="184" t="s">
        <v>76</v>
      </c>
      <c r="N2" s="184" t="s">
        <v>668</v>
      </c>
      <c r="O2" s="184" t="s">
        <v>75</v>
      </c>
      <c r="P2" s="184" t="s">
        <v>74</v>
      </c>
      <c r="Q2" s="184" t="s">
        <v>73</v>
      </c>
      <c r="R2" s="184" t="s">
        <v>72</v>
      </c>
      <c r="S2" s="184" t="s">
        <v>71</v>
      </c>
      <c r="T2" s="184" t="s">
        <v>70</v>
      </c>
      <c r="U2" s="184" t="s">
        <v>69</v>
      </c>
      <c r="V2" s="184" t="s">
        <v>68</v>
      </c>
      <c r="W2" s="184" t="s">
        <v>67</v>
      </c>
      <c r="X2" s="184" t="s">
        <v>66</v>
      </c>
      <c r="Y2" s="184" t="s">
        <v>65</v>
      </c>
      <c r="Z2" s="184" t="s">
        <v>64</v>
      </c>
      <c r="AA2" s="184" t="s">
        <v>671</v>
      </c>
      <c r="AB2" s="184" t="s">
        <v>676</v>
      </c>
    </row>
    <row r="3" spans="2:28" x14ac:dyDescent="0.25"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</row>
    <row r="4" spans="2:28" hidden="1" x14ac:dyDescent="0.25">
      <c r="B4" s="173">
        <v>1</v>
      </c>
      <c r="C4" s="169" t="s">
        <v>55</v>
      </c>
      <c r="D4" s="169">
        <v>400</v>
      </c>
      <c r="E4" s="169">
        <v>400</v>
      </c>
      <c r="F4" s="169">
        <v>1</v>
      </c>
      <c r="G4" s="169">
        <v>3</v>
      </c>
      <c r="H4" s="169" t="s">
        <v>57</v>
      </c>
      <c r="I4" s="173">
        <v>37</v>
      </c>
      <c r="J4" s="173">
        <v>0</v>
      </c>
      <c r="K4" s="173">
        <v>0.4</v>
      </c>
      <c r="L4" s="173"/>
      <c r="M4" s="173">
        <v>50</v>
      </c>
      <c r="N4" s="173">
        <v>5.61</v>
      </c>
      <c r="O4" s="173">
        <f t="shared" ref="O4:O35" si="0">L4+M4+N4</f>
        <v>55.61</v>
      </c>
      <c r="P4" s="172">
        <f t="shared" ref="P4:P35" si="1">(I4+5)*IF(F4=1,0.708,1.01)/2</f>
        <v>14.867999999999999</v>
      </c>
      <c r="Q4" s="173">
        <f t="shared" ref="Q4:Q35" si="2">ROUNDUP(I4+6,0)*J4/2</f>
        <v>0</v>
      </c>
      <c r="R4" s="172">
        <f t="shared" ref="R4:R35" si="3">O4+P4+Q4</f>
        <v>70.477999999999994</v>
      </c>
      <c r="S4" s="172">
        <f t="shared" ref="S4:S35" si="4">R4+D4</f>
        <v>470.47800000000001</v>
      </c>
      <c r="T4" s="170"/>
      <c r="U4" s="173">
        <f t="shared" ref="U4:U35" si="5">O4+P4+K4*D4</f>
        <v>230.47800000000001</v>
      </c>
      <c r="V4" s="173">
        <v>959</v>
      </c>
      <c r="W4" s="172">
        <f t="shared" ref="W4:W35" si="6">V4-U4</f>
        <v>728.52199999999993</v>
      </c>
      <c r="X4" s="170"/>
      <c r="Y4" s="170"/>
      <c r="Z4" s="173"/>
      <c r="AA4" s="180" t="s">
        <v>672</v>
      </c>
      <c r="AB4" s="180" t="s">
        <v>672</v>
      </c>
    </row>
    <row r="5" spans="2:28" hidden="1" x14ac:dyDescent="0.25">
      <c r="B5" s="173">
        <v>2</v>
      </c>
      <c r="C5" s="169" t="s">
        <v>55</v>
      </c>
      <c r="D5" s="169">
        <v>400</v>
      </c>
      <c r="E5" s="169">
        <v>400</v>
      </c>
      <c r="F5" s="169">
        <v>1</v>
      </c>
      <c r="G5" s="169">
        <v>3</v>
      </c>
      <c r="H5" s="169" t="s">
        <v>56</v>
      </c>
      <c r="I5" s="173">
        <v>60</v>
      </c>
      <c r="J5" s="173">
        <v>1.49</v>
      </c>
      <c r="K5" s="173">
        <v>0.4</v>
      </c>
      <c r="L5" s="173"/>
      <c r="M5" s="173">
        <v>50</v>
      </c>
      <c r="N5" s="173">
        <v>5.61</v>
      </c>
      <c r="O5" s="173">
        <f t="shared" si="0"/>
        <v>55.61</v>
      </c>
      <c r="P5" s="172">
        <f t="shared" si="1"/>
        <v>23.009999999999998</v>
      </c>
      <c r="Q5" s="173">
        <f t="shared" si="2"/>
        <v>49.17</v>
      </c>
      <c r="R5" s="172">
        <f t="shared" si="3"/>
        <v>127.79</v>
      </c>
      <c r="S5" s="172">
        <f t="shared" si="4"/>
        <v>527.79</v>
      </c>
      <c r="T5" s="170"/>
      <c r="U5" s="173">
        <f t="shared" si="5"/>
        <v>238.62</v>
      </c>
      <c r="V5" s="173">
        <v>959</v>
      </c>
      <c r="W5" s="172">
        <f t="shared" si="6"/>
        <v>720.38</v>
      </c>
      <c r="X5" s="170"/>
      <c r="Y5" s="170"/>
      <c r="Z5" s="173"/>
      <c r="AA5" s="180" t="s">
        <v>672</v>
      </c>
      <c r="AB5" s="180" t="s">
        <v>672</v>
      </c>
    </row>
    <row r="6" spans="2:28" hidden="1" x14ac:dyDescent="0.25">
      <c r="B6" s="173">
        <v>3</v>
      </c>
      <c r="C6" s="169" t="s">
        <v>55</v>
      </c>
      <c r="D6" s="169">
        <v>400</v>
      </c>
      <c r="E6" s="169">
        <v>400</v>
      </c>
      <c r="F6" s="169">
        <v>1.6</v>
      </c>
      <c r="G6" s="169">
        <v>3</v>
      </c>
      <c r="H6" s="169" t="s">
        <v>57</v>
      </c>
      <c r="I6" s="173">
        <v>37</v>
      </c>
      <c r="J6" s="173">
        <v>0</v>
      </c>
      <c r="K6" s="173">
        <v>0.4</v>
      </c>
      <c r="L6" s="173"/>
      <c r="M6" s="173">
        <v>50</v>
      </c>
      <c r="N6" s="173">
        <v>5.61</v>
      </c>
      <c r="O6" s="173">
        <f t="shared" si="0"/>
        <v>55.61</v>
      </c>
      <c r="P6" s="172">
        <f t="shared" si="1"/>
        <v>21.21</v>
      </c>
      <c r="Q6" s="173">
        <f t="shared" si="2"/>
        <v>0</v>
      </c>
      <c r="R6" s="172">
        <f t="shared" si="3"/>
        <v>76.819999999999993</v>
      </c>
      <c r="S6" s="172">
        <f t="shared" si="4"/>
        <v>476.82</v>
      </c>
      <c r="T6" s="170"/>
      <c r="U6" s="173">
        <f t="shared" si="5"/>
        <v>236.82</v>
      </c>
      <c r="V6" s="173">
        <v>959</v>
      </c>
      <c r="W6" s="172">
        <f t="shared" si="6"/>
        <v>722.18000000000006</v>
      </c>
      <c r="X6" s="170"/>
      <c r="Y6" s="170"/>
      <c r="Z6" s="173"/>
      <c r="AA6" s="180" t="s">
        <v>672</v>
      </c>
      <c r="AB6" s="180" t="s">
        <v>672</v>
      </c>
    </row>
    <row r="7" spans="2:28" hidden="1" x14ac:dyDescent="0.25">
      <c r="B7" s="173">
        <v>4</v>
      </c>
      <c r="C7" s="169" t="s">
        <v>55</v>
      </c>
      <c r="D7" s="169">
        <v>400</v>
      </c>
      <c r="E7" s="169">
        <v>400</v>
      </c>
      <c r="F7" s="169">
        <v>1.6</v>
      </c>
      <c r="G7" s="169">
        <v>3</v>
      </c>
      <c r="H7" s="169" t="s">
        <v>56</v>
      </c>
      <c r="I7" s="173">
        <v>60</v>
      </c>
      <c r="J7" s="173">
        <v>1.49</v>
      </c>
      <c r="K7" s="173">
        <v>0.4</v>
      </c>
      <c r="L7" s="173"/>
      <c r="M7" s="173">
        <v>50</v>
      </c>
      <c r="N7" s="173">
        <v>5.61</v>
      </c>
      <c r="O7" s="173">
        <f t="shared" si="0"/>
        <v>55.61</v>
      </c>
      <c r="P7" s="172">
        <f t="shared" si="1"/>
        <v>32.825000000000003</v>
      </c>
      <c r="Q7" s="173">
        <f t="shared" si="2"/>
        <v>49.17</v>
      </c>
      <c r="R7" s="172">
        <f t="shared" si="3"/>
        <v>137.60500000000002</v>
      </c>
      <c r="S7" s="172">
        <f t="shared" si="4"/>
        <v>537.60500000000002</v>
      </c>
      <c r="T7" s="170"/>
      <c r="U7" s="173">
        <f t="shared" si="5"/>
        <v>248.435</v>
      </c>
      <c r="V7" s="173">
        <v>959</v>
      </c>
      <c r="W7" s="172">
        <f t="shared" si="6"/>
        <v>710.56500000000005</v>
      </c>
      <c r="X7" s="170"/>
      <c r="Y7" s="170"/>
      <c r="Z7" s="173"/>
      <c r="AA7" s="180" t="s">
        <v>672</v>
      </c>
      <c r="AB7" s="180" t="s">
        <v>672</v>
      </c>
    </row>
    <row r="8" spans="2:28" hidden="1" x14ac:dyDescent="0.25">
      <c r="B8" s="173">
        <v>5</v>
      </c>
      <c r="C8" s="169" t="s">
        <v>55</v>
      </c>
      <c r="D8" s="169">
        <v>400</v>
      </c>
      <c r="E8" s="169">
        <v>400</v>
      </c>
      <c r="F8" s="169">
        <v>1.6</v>
      </c>
      <c r="G8" s="169">
        <v>3</v>
      </c>
      <c r="H8" s="169" t="s">
        <v>54</v>
      </c>
      <c r="I8" s="173">
        <v>80</v>
      </c>
      <c r="J8" s="173">
        <v>2.2400000000000002</v>
      </c>
      <c r="K8" s="173">
        <v>0.4</v>
      </c>
      <c r="L8" s="173"/>
      <c r="M8" s="173">
        <v>50</v>
      </c>
      <c r="N8" s="173">
        <v>5.61</v>
      </c>
      <c r="O8" s="173">
        <f t="shared" si="0"/>
        <v>55.61</v>
      </c>
      <c r="P8" s="172">
        <f t="shared" si="1"/>
        <v>42.924999999999997</v>
      </c>
      <c r="Q8" s="173">
        <f t="shared" si="2"/>
        <v>96.320000000000007</v>
      </c>
      <c r="R8" s="172">
        <f t="shared" si="3"/>
        <v>194.85500000000002</v>
      </c>
      <c r="S8" s="172">
        <f t="shared" si="4"/>
        <v>594.85500000000002</v>
      </c>
      <c r="T8" s="170"/>
      <c r="U8" s="173">
        <f t="shared" si="5"/>
        <v>258.53499999999997</v>
      </c>
      <c r="V8" s="173">
        <v>959</v>
      </c>
      <c r="W8" s="172">
        <f t="shared" si="6"/>
        <v>700.46500000000003</v>
      </c>
      <c r="X8" s="170"/>
      <c r="Y8" s="170"/>
      <c r="Z8" s="173"/>
      <c r="AA8" s="180" t="s">
        <v>672</v>
      </c>
      <c r="AB8" s="180" t="s">
        <v>672</v>
      </c>
    </row>
    <row r="9" spans="2:28" hidden="1" x14ac:dyDescent="0.25">
      <c r="B9" s="173">
        <v>6</v>
      </c>
      <c r="C9" s="169" t="s">
        <v>55</v>
      </c>
      <c r="D9" s="169">
        <v>630</v>
      </c>
      <c r="E9" s="169">
        <v>630</v>
      </c>
      <c r="F9" s="169">
        <v>1</v>
      </c>
      <c r="G9" s="169">
        <v>3</v>
      </c>
      <c r="H9" s="169" t="s">
        <v>57</v>
      </c>
      <c r="I9" s="173">
        <v>37</v>
      </c>
      <c r="J9" s="173">
        <v>0</v>
      </c>
      <c r="K9" s="173">
        <v>0.4</v>
      </c>
      <c r="L9" s="173">
        <v>613.20000000000005</v>
      </c>
      <c r="M9" s="173">
        <v>50</v>
      </c>
      <c r="N9" s="173">
        <v>7.8540000000000001</v>
      </c>
      <c r="O9" s="173">
        <f t="shared" si="0"/>
        <v>671.05400000000009</v>
      </c>
      <c r="P9" s="172">
        <f t="shared" si="1"/>
        <v>14.867999999999999</v>
      </c>
      <c r="Q9" s="173">
        <f t="shared" si="2"/>
        <v>0</v>
      </c>
      <c r="R9" s="172">
        <f t="shared" si="3"/>
        <v>685.92200000000014</v>
      </c>
      <c r="S9" s="172">
        <f t="shared" si="4"/>
        <v>1315.922</v>
      </c>
      <c r="T9" s="170" t="s">
        <v>667</v>
      </c>
      <c r="U9" s="173">
        <f t="shared" si="5"/>
        <v>937.92200000000014</v>
      </c>
      <c r="V9" s="173">
        <v>966</v>
      </c>
      <c r="W9" s="172">
        <f t="shared" si="6"/>
        <v>28.077999999999861</v>
      </c>
      <c r="X9" s="170">
        <v>45</v>
      </c>
      <c r="Y9" s="170"/>
      <c r="Z9" s="173"/>
      <c r="AA9" s="169" t="s">
        <v>673</v>
      </c>
      <c r="AB9" s="169" t="s">
        <v>673</v>
      </c>
    </row>
    <row r="10" spans="2:28" hidden="1" x14ac:dyDescent="0.25">
      <c r="B10" s="173">
        <v>7</v>
      </c>
      <c r="C10" s="169" t="s">
        <v>55</v>
      </c>
      <c r="D10" s="169">
        <v>630</v>
      </c>
      <c r="E10" s="169">
        <v>630</v>
      </c>
      <c r="F10" s="169">
        <v>1</v>
      </c>
      <c r="G10" s="169">
        <v>3</v>
      </c>
      <c r="H10" s="169" t="s">
        <v>56</v>
      </c>
      <c r="I10" s="173">
        <v>60</v>
      </c>
      <c r="J10" s="173">
        <v>1.49</v>
      </c>
      <c r="K10" s="173">
        <v>0.4</v>
      </c>
      <c r="L10" s="173">
        <v>613.20000000000005</v>
      </c>
      <c r="M10" s="173">
        <v>50</v>
      </c>
      <c r="N10" s="173">
        <v>7.8540000000000001</v>
      </c>
      <c r="O10" s="173">
        <f t="shared" si="0"/>
        <v>671.05400000000009</v>
      </c>
      <c r="P10" s="172">
        <f t="shared" si="1"/>
        <v>23.009999999999998</v>
      </c>
      <c r="Q10" s="173">
        <f t="shared" si="2"/>
        <v>49.17</v>
      </c>
      <c r="R10" s="172">
        <f t="shared" si="3"/>
        <v>743.23400000000004</v>
      </c>
      <c r="S10" s="172">
        <f t="shared" si="4"/>
        <v>1373.2339999999999</v>
      </c>
      <c r="T10" s="170" t="s">
        <v>667</v>
      </c>
      <c r="U10" s="173">
        <f t="shared" si="5"/>
        <v>946.06400000000008</v>
      </c>
      <c r="V10" s="173">
        <v>966</v>
      </c>
      <c r="W10" s="172">
        <f t="shared" si="6"/>
        <v>19.935999999999922</v>
      </c>
      <c r="X10" s="170">
        <v>45</v>
      </c>
      <c r="Y10" s="170"/>
      <c r="Z10" s="173"/>
      <c r="AA10" s="169" t="s">
        <v>673</v>
      </c>
      <c r="AB10" s="169" t="s">
        <v>673</v>
      </c>
    </row>
    <row r="11" spans="2:28" hidden="1" x14ac:dyDescent="0.25">
      <c r="B11" s="173">
        <v>8</v>
      </c>
      <c r="C11" s="169" t="s">
        <v>55</v>
      </c>
      <c r="D11" s="169">
        <v>630</v>
      </c>
      <c r="E11" s="169">
        <v>630</v>
      </c>
      <c r="F11" s="169">
        <v>1.6</v>
      </c>
      <c r="G11" s="169">
        <v>3</v>
      </c>
      <c r="H11" s="169" t="s">
        <v>57</v>
      </c>
      <c r="I11" s="173">
        <v>37</v>
      </c>
      <c r="J11" s="173">
        <v>0</v>
      </c>
      <c r="K11" s="173">
        <v>0.4</v>
      </c>
      <c r="L11" s="173">
        <v>613.20000000000005</v>
      </c>
      <c r="M11" s="173">
        <v>50</v>
      </c>
      <c r="N11" s="173">
        <v>7.8540000000000001</v>
      </c>
      <c r="O11" s="173">
        <f t="shared" si="0"/>
        <v>671.05400000000009</v>
      </c>
      <c r="P11" s="172">
        <f t="shared" si="1"/>
        <v>21.21</v>
      </c>
      <c r="Q11" s="173">
        <f t="shared" si="2"/>
        <v>0</v>
      </c>
      <c r="R11" s="172">
        <f t="shared" si="3"/>
        <v>692.26400000000012</v>
      </c>
      <c r="S11" s="172">
        <f t="shared" si="4"/>
        <v>1322.2640000000001</v>
      </c>
      <c r="T11" s="170" t="s">
        <v>667</v>
      </c>
      <c r="U11" s="173">
        <f t="shared" si="5"/>
        <v>944.26400000000012</v>
      </c>
      <c r="V11" s="173">
        <v>966</v>
      </c>
      <c r="W11" s="172">
        <f t="shared" si="6"/>
        <v>21.735999999999876</v>
      </c>
      <c r="X11" s="170">
        <v>45</v>
      </c>
      <c r="Y11" s="170"/>
      <c r="Z11" s="173"/>
      <c r="AA11" s="169" t="s">
        <v>673</v>
      </c>
      <c r="AB11" s="169" t="s">
        <v>673</v>
      </c>
    </row>
    <row r="12" spans="2:28" hidden="1" x14ac:dyDescent="0.25">
      <c r="B12" s="173">
        <v>9</v>
      </c>
      <c r="C12" s="169" t="s">
        <v>55</v>
      </c>
      <c r="D12" s="169">
        <v>630</v>
      </c>
      <c r="E12" s="169">
        <v>630</v>
      </c>
      <c r="F12" s="169">
        <v>1.6</v>
      </c>
      <c r="G12" s="169">
        <v>3</v>
      </c>
      <c r="H12" s="169" t="s">
        <v>56</v>
      </c>
      <c r="I12" s="173">
        <v>60</v>
      </c>
      <c r="J12" s="173">
        <v>1.49</v>
      </c>
      <c r="K12" s="173">
        <v>0.4</v>
      </c>
      <c r="L12" s="173">
        <v>613.20000000000005</v>
      </c>
      <c r="M12" s="173">
        <v>50</v>
      </c>
      <c r="N12" s="173">
        <v>7.8540000000000001</v>
      </c>
      <c r="O12" s="173">
        <f t="shared" si="0"/>
        <v>671.05400000000009</v>
      </c>
      <c r="P12" s="172">
        <f t="shared" si="1"/>
        <v>32.825000000000003</v>
      </c>
      <c r="Q12" s="173">
        <f t="shared" si="2"/>
        <v>49.17</v>
      </c>
      <c r="R12" s="172">
        <f t="shared" si="3"/>
        <v>753.04900000000009</v>
      </c>
      <c r="S12" s="172">
        <f t="shared" si="4"/>
        <v>1383.049</v>
      </c>
      <c r="T12" s="170" t="s">
        <v>53</v>
      </c>
      <c r="U12" s="173">
        <f t="shared" si="5"/>
        <v>955.87900000000013</v>
      </c>
      <c r="V12" s="173">
        <v>966</v>
      </c>
      <c r="W12" s="172">
        <f t="shared" si="6"/>
        <v>10.120999999999867</v>
      </c>
      <c r="X12" s="170">
        <v>45</v>
      </c>
      <c r="Y12" s="170"/>
      <c r="Z12" s="173"/>
      <c r="AA12" s="169" t="s">
        <v>673</v>
      </c>
      <c r="AB12" s="169" t="s">
        <v>673</v>
      </c>
    </row>
    <row r="13" spans="2:28" hidden="1" x14ac:dyDescent="0.25">
      <c r="B13" s="173">
        <v>10</v>
      </c>
      <c r="C13" s="169" t="s">
        <v>55</v>
      </c>
      <c r="D13" s="169">
        <v>630</v>
      </c>
      <c r="E13" s="169">
        <v>630</v>
      </c>
      <c r="F13" s="169">
        <v>1.6</v>
      </c>
      <c r="G13" s="169">
        <v>3</v>
      </c>
      <c r="H13" s="169" t="s">
        <v>54</v>
      </c>
      <c r="I13" s="173">
        <v>80</v>
      </c>
      <c r="J13" s="173">
        <v>2.2400000000000002</v>
      </c>
      <c r="K13" s="173">
        <v>0.4</v>
      </c>
      <c r="L13" s="173">
        <v>613.20000000000005</v>
      </c>
      <c r="M13" s="173">
        <v>50</v>
      </c>
      <c r="N13" s="173">
        <v>7.8540000000000001</v>
      </c>
      <c r="O13" s="173">
        <f t="shared" si="0"/>
        <v>671.05400000000009</v>
      </c>
      <c r="P13" s="172">
        <f t="shared" si="1"/>
        <v>42.924999999999997</v>
      </c>
      <c r="Q13" s="173">
        <f t="shared" si="2"/>
        <v>96.320000000000007</v>
      </c>
      <c r="R13" s="172">
        <f t="shared" si="3"/>
        <v>810.29900000000009</v>
      </c>
      <c r="S13" s="172">
        <f t="shared" si="4"/>
        <v>1440.299</v>
      </c>
      <c r="T13" s="170" t="s">
        <v>53</v>
      </c>
      <c r="U13" s="173">
        <f t="shared" si="5"/>
        <v>965.97900000000004</v>
      </c>
      <c r="V13" s="173">
        <v>966</v>
      </c>
      <c r="W13" s="172">
        <f t="shared" si="6"/>
        <v>2.0999999999958163E-2</v>
      </c>
      <c r="X13" s="170">
        <v>45</v>
      </c>
      <c r="Y13" s="170"/>
      <c r="Z13" s="173"/>
      <c r="AA13" s="169" t="s">
        <v>673</v>
      </c>
      <c r="AB13" s="169" t="s">
        <v>673</v>
      </c>
    </row>
    <row r="14" spans="2:28" hidden="1" x14ac:dyDescent="0.25">
      <c r="B14" s="173">
        <v>11</v>
      </c>
      <c r="C14" s="169" t="s">
        <v>55</v>
      </c>
      <c r="D14" s="169">
        <v>1000</v>
      </c>
      <c r="E14" s="169" t="s">
        <v>63</v>
      </c>
      <c r="F14" s="169">
        <v>1</v>
      </c>
      <c r="G14" s="169">
        <v>3</v>
      </c>
      <c r="H14" s="169" t="s">
        <v>62</v>
      </c>
      <c r="I14" s="173">
        <v>30</v>
      </c>
      <c r="J14" s="173">
        <v>0</v>
      </c>
      <c r="K14" s="173">
        <v>0.4</v>
      </c>
      <c r="L14" s="173">
        <v>736.19999999999993</v>
      </c>
      <c r="M14" s="173">
        <v>50</v>
      </c>
      <c r="N14" s="173">
        <v>11</v>
      </c>
      <c r="O14" s="173">
        <f t="shared" si="0"/>
        <v>797.19999999999993</v>
      </c>
      <c r="P14" s="172">
        <f t="shared" si="1"/>
        <v>12.389999999999999</v>
      </c>
      <c r="Q14" s="173">
        <f t="shared" si="2"/>
        <v>0</v>
      </c>
      <c r="R14" s="172">
        <f t="shared" si="3"/>
        <v>809.58999999999992</v>
      </c>
      <c r="S14" s="172">
        <f t="shared" si="4"/>
        <v>1809.59</v>
      </c>
      <c r="T14" s="181" t="s">
        <v>665</v>
      </c>
      <c r="U14" s="173">
        <f t="shared" si="5"/>
        <v>1209.5899999999999</v>
      </c>
      <c r="V14" s="173">
        <v>1241</v>
      </c>
      <c r="W14" s="172">
        <f t="shared" si="6"/>
        <v>31.410000000000082</v>
      </c>
      <c r="X14" s="170"/>
      <c r="Y14" s="170">
        <v>45</v>
      </c>
      <c r="Z14" s="173"/>
      <c r="AA14" s="176" t="s">
        <v>674</v>
      </c>
      <c r="AB14" s="176" t="s">
        <v>674</v>
      </c>
    </row>
    <row r="15" spans="2:28" hidden="1" x14ac:dyDescent="0.25">
      <c r="B15" s="173">
        <v>12</v>
      </c>
      <c r="C15" s="169" t="s">
        <v>55</v>
      </c>
      <c r="D15" s="169">
        <v>1000</v>
      </c>
      <c r="E15" s="169" t="s">
        <v>63</v>
      </c>
      <c r="F15" s="169">
        <v>1</v>
      </c>
      <c r="G15" s="169">
        <v>3</v>
      </c>
      <c r="H15" s="169" t="s">
        <v>61</v>
      </c>
      <c r="I15" s="173">
        <v>60</v>
      </c>
      <c r="J15" s="173">
        <v>2.98</v>
      </c>
      <c r="K15" s="173">
        <v>0.4</v>
      </c>
      <c r="L15" s="173">
        <v>736.19999999999993</v>
      </c>
      <c r="M15" s="173">
        <v>50</v>
      </c>
      <c r="N15" s="173">
        <v>11</v>
      </c>
      <c r="O15" s="173">
        <f t="shared" si="0"/>
        <v>797.19999999999993</v>
      </c>
      <c r="P15" s="172">
        <f t="shared" si="1"/>
        <v>23.009999999999998</v>
      </c>
      <c r="Q15" s="173">
        <f t="shared" si="2"/>
        <v>98.34</v>
      </c>
      <c r="R15" s="172">
        <f t="shared" si="3"/>
        <v>918.55</v>
      </c>
      <c r="S15" s="172">
        <f t="shared" si="4"/>
        <v>1918.55</v>
      </c>
      <c r="T15" s="181" t="s">
        <v>58</v>
      </c>
      <c r="U15" s="173">
        <f t="shared" si="5"/>
        <v>1220.21</v>
      </c>
      <c r="V15" s="173">
        <v>1241</v>
      </c>
      <c r="W15" s="172">
        <f t="shared" si="6"/>
        <v>20.789999999999964</v>
      </c>
      <c r="X15" s="170"/>
      <c r="Y15" s="170">
        <v>45</v>
      </c>
      <c r="Z15" s="173"/>
      <c r="AA15" s="176" t="s">
        <v>674</v>
      </c>
      <c r="AB15" s="176" t="s">
        <v>674</v>
      </c>
    </row>
    <row r="16" spans="2:28" hidden="1" x14ac:dyDescent="0.25">
      <c r="B16" s="173">
        <v>13</v>
      </c>
      <c r="C16" s="169" t="s">
        <v>55</v>
      </c>
      <c r="D16" s="169">
        <v>1000</v>
      </c>
      <c r="E16" s="169" t="s">
        <v>63</v>
      </c>
      <c r="F16" s="169">
        <v>1.6</v>
      </c>
      <c r="G16" s="169">
        <v>3</v>
      </c>
      <c r="H16" s="169" t="s">
        <v>62</v>
      </c>
      <c r="I16" s="173">
        <v>30</v>
      </c>
      <c r="J16" s="173">
        <v>0</v>
      </c>
      <c r="K16" s="173">
        <v>0.4</v>
      </c>
      <c r="L16" s="173">
        <v>736.19999999999993</v>
      </c>
      <c r="M16" s="173">
        <v>50</v>
      </c>
      <c r="N16" s="173">
        <v>11</v>
      </c>
      <c r="O16" s="173">
        <f t="shared" si="0"/>
        <v>797.19999999999993</v>
      </c>
      <c r="P16" s="172">
        <f t="shared" si="1"/>
        <v>17.675000000000001</v>
      </c>
      <c r="Q16" s="173">
        <f t="shared" si="2"/>
        <v>0</v>
      </c>
      <c r="R16" s="172">
        <f t="shared" si="3"/>
        <v>814.87499999999989</v>
      </c>
      <c r="S16" s="172">
        <f t="shared" si="4"/>
        <v>1814.875</v>
      </c>
      <c r="T16" s="181" t="s">
        <v>665</v>
      </c>
      <c r="U16" s="173">
        <f t="shared" si="5"/>
        <v>1214.875</v>
      </c>
      <c r="V16" s="173">
        <v>1241</v>
      </c>
      <c r="W16" s="172">
        <f t="shared" si="6"/>
        <v>26.125</v>
      </c>
      <c r="X16" s="170"/>
      <c r="Y16" s="170">
        <v>45</v>
      </c>
      <c r="Z16" s="173"/>
      <c r="AA16" s="176" t="s">
        <v>674</v>
      </c>
      <c r="AB16" s="176" t="s">
        <v>674</v>
      </c>
    </row>
    <row r="17" spans="2:28" hidden="1" x14ac:dyDescent="0.25">
      <c r="B17" s="173">
        <v>14</v>
      </c>
      <c r="C17" s="169" t="s">
        <v>55</v>
      </c>
      <c r="D17" s="169">
        <v>1000</v>
      </c>
      <c r="E17" s="169" t="s">
        <v>63</v>
      </c>
      <c r="F17" s="169">
        <v>1.6</v>
      </c>
      <c r="G17" s="169">
        <v>3</v>
      </c>
      <c r="H17" s="169" t="s">
        <v>61</v>
      </c>
      <c r="I17" s="173">
        <v>60</v>
      </c>
      <c r="J17" s="173">
        <v>2.98</v>
      </c>
      <c r="K17" s="173">
        <v>0.4</v>
      </c>
      <c r="L17" s="173">
        <v>736.19999999999993</v>
      </c>
      <c r="M17" s="173">
        <v>50</v>
      </c>
      <c r="N17" s="173">
        <v>11</v>
      </c>
      <c r="O17" s="173">
        <f t="shared" si="0"/>
        <v>797.19999999999993</v>
      </c>
      <c r="P17" s="172">
        <f t="shared" si="1"/>
        <v>32.825000000000003</v>
      </c>
      <c r="Q17" s="173">
        <f t="shared" si="2"/>
        <v>98.34</v>
      </c>
      <c r="R17" s="172">
        <f t="shared" si="3"/>
        <v>928.36500000000001</v>
      </c>
      <c r="S17" s="172">
        <f t="shared" si="4"/>
        <v>1928.365</v>
      </c>
      <c r="T17" s="181" t="s">
        <v>58</v>
      </c>
      <c r="U17" s="173">
        <f t="shared" si="5"/>
        <v>1230.0250000000001</v>
      </c>
      <c r="V17" s="173">
        <v>1241</v>
      </c>
      <c r="W17" s="172">
        <f t="shared" si="6"/>
        <v>10.974999999999909</v>
      </c>
      <c r="X17" s="170"/>
      <c r="Y17" s="170">
        <v>45</v>
      </c>
      <c r="Z17" s="173"/>
      <c r="AA17" s="176" t="s">
        <v>674</v>
      </c>
      <c r="AB17" s="176" t="s">
        <v>674</v>
      </c>
    </row>
    <row r="18" spans="2:28" x14ac:dyDescent="0.25">
      <c r="B18" s="173">
        <v>15</v>
      </c>
      <c r="C18" s="169" t="s">
        <v>55</v>
      </c>
      <c r="D18" s="169">
        <v>1000</v>
      </c>
      <c r="E18" s="169" t="s">
        <v>63</v>
      </c>
      <c r="F18" s="169">
        <v>1.6</v>
      </c>
      <c r="G18" s="169">
        <v>3</v>
      </c>
      <c r="H18" s="169" t="s">
        <v>54</v>
      </c>
      <c r="I18" s="173">
        <v>80</v>
      </c>
      <c r="J18" s="173">
        <v>2.98</v>
      </c>
      <c r="K18" s="173">
        <v>0.4</v>
      </c>
      <c r="L18" s="173">
        <v>736.19999999999993</v>
      </c>
      <c r="M18" s="173">
        <v>50</v>
      </c>
      <c r="N18" s="173">
        <v>11</v>
      </c>
      <c r="O18" s="173">
        <f t="shared" si="0"/>
        <v>797.19999999999993</v>
      </c>
      <c r="P18" s="172">
        <f t="shared" si="1"/>
        <v>42.924999999999997</v>
      </c>
      <c r="Q18" s="173">
        <f t="shared" si="2"/>
        <v>128.13999999999999</v>
      </c>
      <c r="R18" s="172">
        <f t="shared" si="3"/>
        <v>968.26499999999987</v>
      </c>
      <c r="S18" s="172">
        <f t="shared" si="4"/>
        <v>1968.2649999999999</v>
      </c>
      <c r="T18" s="181" t="s">
        <v>58</v>
      </c>
      <c r="U18" s="173">
        <f t="shared" si="5"/>
        <v>1240.125</v>
      </c>
      <c r="V18" s="173">
        <v>1241</v>
      </c>
      <c r="W18" s="172">
        <f t="shared" si="6"/>
        <v>0.875</v>
      </c>
      <c r="X18" s="170"/>
      <c r="Y18" s="170">
        <v>45</v>
      </c>
      <c r="Z18" s="173"/>
      <c r="AA18" s="169" t="s">
        <v>673</v>
      </c>
      <c r="AB18" s="169" t="s">
        <v>673</v>
      </c>
    </row>
    <row r="19" spans="2:28" ht="15.75" hidden="1" customHeight="1" x14ac:dyDescent="0.25">
      <c r="B19" s="173">
        <v>16</v>
      </c>
      <c r="C19" s="169" t="s">
        <v>55</v>
      </c>
      <c r="D19" s="169">
        <v>1000</v>
      </c>
      <c r="E19" s="169" t="s">
        <v>59</v>
      </c>
      <c r="F19" s="169">
        <v>1</v>
      </c>
      <c r="G19" s="169">
        <v>3</v>
      </c>
      <c r="H19" s="169" t="s">
        <v>62</v>
      </c>
      <c r="I19" s="173">
        <v>30</v>
      </c>
      <c r="J19" s="173">
        <v>0</v>
      </c>
      <c r="K19" s="173">
        <v>0.4</v>
      </c>
      <c r="L19" s="173">
        <v>838.7</v>
      </c>
      <c r="M19" s="173">
        <v>50</v>
      </c>
      <c r="N19" s="173">
        <v>11</v>
      </c>
      <c r="O19" s="173">
        <f t="shared" si="0"/>
        <v>899.7</v>
      </c>
      <c r="P19" s="172">
        <f t="shared" si="1"/>
        <v>12.389999999999999</v>
      </c>
      <c r="Q19" s="173">
        <f t="shared" si="2"/>
        <v>0</v>
      </c>
      <c r="R19" s="172">
        <f t="shared" si="3"/>
        <v>912.09</v>
      </c>
      <c r="S19" s="172">
        <f t="shared" si="4"/>
        <v>1912.0900000000001</v>
      </c>
      <c r="T19" s="170" t="s">
        <v>58</v>
      </c>
      <c r="U19" s="173">
        <f t="shared" si="5"/>
        <v>1312.0900000000001</v>
      </c>
      <c r="V19" s="173">
        <v>1343</v>
      </c>
      <c r="W19" s="172">
        <f t="shared" si="6"/>
        <v>30.909999999999854</v>
      </c>
      <c r="X19" s="173"/>
      <c r="Y19" s="170">
        <v>42</v>
      </c>
      <c r="Z19" s="170">
        <v>14</v>
      </c>
      <c r="AA19" s="169" t="s">
        <v>673</v>
      </c>
      <c r="AB19" s="169" t="s">
        <v>673</v>
      </c>
    </row>
    <row r="20" spans="2:28" ht="15.75" hidden="1" customHeight="1" x14ac:dyDescent="0.25">
      <c r="B20" s="173">
        <v>17</v>
      </c>
      <c r="C20" s="169" t="s">
        <v>55</v>
      </c>
      <c r="D20" s="169">
        <v>1000</v>
      </c>
      <c r="E20" s="169" t="s">
        <v>59</v>
      </c>
      <c r="F20" s="169">
        <v>1</v>
      </c>
      <c r="G20" s="169">
        <v>3</v>
      </c>
      <c r="H20" s="169" t="s">
        <v>61</v>
      </c>
      <c r="I20" s="173">
        <v>60</v>
      </c>
      <c r="J20" s="173">
        <v>2.98</v>
      </c>
      <c r="K20" s="173">
        <v>0.4</v>
      </c>
      <c r="L20" s="173">
        <v>838.7</v>
      </c>
      <c r="M20" s="173">
        <v>50</v>
      </c>
      <c r="N20" s="173">
        <v>11</v>
      </c>
      <c r="O20" s="173">
        <f t="shared" si="0"/>
        <v>899.7</v>
      </c>
      <c r="P20" s="172">
        <f t="shared" si="1"/>
        <v>23.009999999999998</v>
      </c>
      <c r="Q20" s="173">
        <f t="shared" si="2"/>
        <v>98.34</v>
      </c>
      <c r="R20" s="172">
        <f t="shared" si="3"/>
        <v>1021.0500000000001</v>
      </c>
      <c r="S20" s="172">
        <f t="shared" si="4"/>
        <v>2021.0500000000002</v>
      </c>
      <c r="T20" s="170" t="s">
        <v>58</v>
      </c>
      <c r="U20" s="173">
        <f t="shared" si="5"/>
        <v>1322.71</v>
      </c>
      <c r="V20" s="173">
        <v>1343</v>
      </c>
      <c r="W20" s="172">
        <f t="shared" si="6"/>
        <v>20.289999999999964</v>
      </c>
      <c r="X20" s="173"/>
      <c r="Y20" s="170">
        <v>42</v>
      </c>
      <c r="Z20" s="170">
        <v>14</v>
      </c>
      <c r="AA20" s="169" t="s">
        <v>673</v>
      </c>
      <c r="AB20" s="169" t="s">
        <v>673</v>
      </c>
    </row>
    <row r="21" spans="2:28" ht="15.75" hidden="1" customHeight="1" x14ac:dyDescent="0.25">
      <c r="B21" s="173">
        <v>18</v>
      </c>
      <c r="C21" s="169" t="s">
        <v>55</v>
      </c>
      <c r="D21" s="169">
        <v>1000</v>
      </c>
      <c r="E21" s="169" t="s">
        <v>59</v>
      </c>
      <c r="F21" s="169">
        <v>1.6</v>
      </c>
      <c r="G21" s="169">
        <v>3</v>
      </c>
      <c r="H21" s="169" t="s">
        <v>62</v>
      </c>
      <c r="I21" s="173">
        <v>30</v>
      </c>
      <c r="J21" s="173">
        <v>0</v>
      </c>
      <c r="K21" s="173">
        <v>0.4</v>
      </c>
      <c r="L21" s="173">
        <v>838.7</v>
      </c>
      <c r="M21" s="173">
        <v>50</v>
      </c>
      <c r="N21" s="173">
        <v>11</v>
      </c>
      <c r="O21" s="173">
        <f t="shared" si="0"/>
        <v>899.7</v>
      </c>
      <c r="P21" s="172">
        <f t="shared" si="1"/>
        <v>17.675000000000001</v>
      </c>
      <c r="Q21" s="173">
        <f t="shared" si="2"/>
        <v>0</v>
      </c>
      <c r="R21" s="172">
        <f t="shared" si="3"/>
        <v>917.375</v>
      </c>
      <c r="S21" s="172">
        <f t="shared" si="4"/>
        <v>1917.375</v>
      </c>
      <c r="T21" s="170" t="s">
        <v>58</v>
      </c>
      <c r="U21" s="173">
        <f t="shared" si="5"/>
        <v>1317.375</v>
      </c>
      <c r="V21" s="173">
        <v>1343</v>
      </c>
      <c r="W21" s="172">
        <f t="shared" si="6"/>
        <v>25.625</v>
      </c>
      <c r="X21" s="173"/>
      <c r="Y21" s="170">
        <v>42</v>
      </c>
      <c r="Z21" s="170">
        <v>14</v>
      </c>
      <c r="AA21" s="169" t="s">
        <v>673</v>
      </c>
      <c r="AB21" s="169" t="s">
        <v>673</v>
      </c>
    </row>
    <row r="22" spans="2:28" ht="15.75" hidden="1" customHeight="1" x14ac:dyDescent="0.25">
      <c r="B22" s="173">
        <v>19</v>
      </c>
      <c r="C22" s="169" t="s">
        <v>55</v>
      </c>
      <c r="D22" s="169">
        <v>1000</v>
      </c>
      <c r="E22" s="169" t="s">
        <v>59</v>
      </c>
      <c r="F22" s="169">
        <v>1.6</v>
      </c>
      <c r="G22" s="169">
        <v>3</v>
      </c>
      <c r="H22" s="169" t="s">
        <v>61</v>
      </c>
      <c r="I22" s="173">
        <v>60</v>
      </c>
      <c r="J22" s="173">
        <v>2.98</v>
      </c>
      <c r="K22" s="173">
        <v>0.4</v>
      </c>
      <c r="L22" s="173">
        <v>838.7</v>
      </c>
      <c r="M22" s="173">
        <v>50</v>
      </c>
      <c r="N22" s="173">
        <v>11</v>
      </c>
      <c r="O22" s="173">
        <f t="shared" si="0"/>
        <v>899.7</v>
      </c>
      <c r="P22" s="172">
        <f t="shared" si="1"/>
        <v>32.825000000000003</v>
      </c>
      <c r="Q22" s="173">
        <f t="shared" si="2"/>
        <v>98.34</v>
      </c>
      <c r="R22" s="172">
        <f t="shared" si="3"/>
        <v>1030.865</v>
      </c>
      <c r="S22" s="172">
        <f t="shared" si="4"/>
        <v>2030.865</v>
      </c>
      <c r="T22" s="170" t="s">
        <v>58</v>
      </c>
      <c r="U22" s="173">
        <f t="shared" si="5"/>
        <v>1332.5250000000001</v>
      </c>
      <c r="V22" s="173">
        <v>1343</v>
      </c>
      <c r="W22" s="172">
        <f t="shared" si="6"/>
        <v>10.474999999999909</v>
      </c>
      <c r="X22" s="173"/>
      <c r="Y22" s="170">
        <v>42</v>
      </c>
      <c r="Z22" s="170">
        <v>14</v>
      </c>
      <c r="AA22" s="169" t="s">
        <v>673</v>
      </c>
      <c r="AB22" s="169" t="s">
        <v>673</v>
      </c>
    </row>
    <row r="23" spans="2:28" ht="15.75" hidden="1" customHeight="1" x14ac:dyDescent="0.25">
      <c r="B23" s="173">
        <v>20</v>
      </c>
      <c r="C23" s="169" t="s">
        <v>55</v>
      </c>
      <c r="D23" s="169">
        <v>1000</v>
      </c>
      <c r="E23" s="169" t="s">
        <v>59</v>
      </c>
      <c r="F23" s="169">
        <v>1.6</v>
      </c>
      <c r="G23" s="169">
        <v>3</v>
      </c>
      <c r="H23" s="169" t="s">
        <v>54</v>
      </c>
      <c r="I23" s="173">
        <v>80</v>
      </c>
      <c r="J23" s="173">
        <v>2.98</v>
      </c>
      <c r="K23" s="173">
        <v>0.4</v>
      </c>
      <c r="L23" s="173">
        <v>838.7</v>
      </c>
      <c r="M23" s="173">
        <v>50</v>
      </c>
      <c r="N23" s="173">
        <v>11</v>
      </c>
      <c r="O23" s="173">
        <f t="shared" si="0"/>
        <v>899.7</v>
      </c>
      <c r="P23" s="172">
        <f t="shared" si="1"/>
        <v>42.924999999999997</v>
      </c>
      <c r="Q23" s="173">
        <f t="shared" si="2"/>
        <v>128.13999999999999</v>
      </c>
      <c r="R23" s="172">
        <f t="shared" si="3"/>
        <v>1070.7649999999999</v>
      </c>
      <c r="S23" s="172">
        <f t="shared" si="4"/>
        <v>2070.7649999999999</v>
      </c>
      <c r="T23" s="170" t="s">
        <v>58</v>
      </c>
      <c r="U23" s="173">
        <f t="shared" si="5"/>
        <v>1342.625</v>
      </c>
      <c r="V23" s="173">
        <v>1343</v>
      </c>
      <c r="W23" s="172">
        <f t="shared" si="6"/>
        <v>0.375</v>
      </c>
      <c r="X23" s="173"/>
      <c r="Y23" s="170">
        <v>42</v>
      </c>
      <c r="Z23" s="170">
        <v>14</v>
      </c>
      <c r="AA23" s="169" t="s">
        <v>673</v>
      </c>
      <c r="AB23" s="169" t="s">
        <v>673</v>
      </c>
    </row>
    <row r="24" spans="2:28" hidden="1" x14ac:dyDescent="0.25">
      <c r="B24" s="173">
        <v>21</v>
      </c>
      <c r="C24" s="169" t="s">
        <v>55</v>
      </c>
      <c r="D24" s="169">
        <v>400</v>
      </c>
      <c r="E24" s="169">
        <v>400</v>
      </c>
      <c r="F24" s="169">
        <v>1</v>
      </c>
      <c r="G24" s="169">
        <v>25</v>
      </c>
      <c r="H24" s="169" t="s">
        <v>57</v>
      </c>
      <c r="I24" s="173">
        <v>37</v>
      </c>
      <c r="J24" s="173">
        <v>0</v>
      </c>
      <c r="K24" s="173">
        <v>0.4</v>
      </c>
      <c r="L24" s="173"/>
      <c r="M24" s="173">
        <v>50</v>
      </c>
      <c r="N24" s="182">
        <v>40</v>
      </c>
      <c r="O24" s="173">
        <f t="shared" si="0"/>
        <v>90</v>
      </c>
      <c r="P24" s="172">
        <f t="shared" si="1"/>
        <v>14.867999999999999</v>
      </c>
      <c r="Q24" s="173">
        <f t="shared" si="2"/>
        <v>0</v>
      </c>
      <c r="R24" s="172">
        <f t="shared" si="3"/>
        <v>104.86799999999999</v>
      </c>
      <c r="S24" s="172">
        <f t="shared" si="4"/>
        <v>504.86799999999999</v>
      </c>
      <c r="T24" s="170"/>
      <c r="U24" s="173">
        <f t="shared" si="5"/>
        <v>264.86799999999999</v>
      </c>
      <c r="V24" s="173">
        <v>959</v>
      </c>
      <c r="W24" s="172">
        <f t="shared" si="6"/>
        <v>694.13200000000006</v>
      </c>
      <c r="X24" s="170"/>
      <c r="Y24" s="170"/>
      <c r="Z24" s="173"/>
      <c r="AA24" s="180" t="s">
        <v>672</v>
      </c>
      <c r="AB24" s="180" t="s">
        <v>672</v>
      </c>
    </row>
    <row r="25" spans="2:28" hidden="1" x14ac:dyDescent="0.25">
      <c r="B25" s="173">
        <v>22</v>
      </c>
      <c r="C25" s="169" t="s">
        <v>55</v>
      </c>
      <c r="D25" s="169">
        <v>400</v>
      </c>
      <c r="E25" s="169">
        <v>400</v>
      </c>
      <c r="F25" s="169">
        <v>1</v>
      </c>
      <c r="G25" s="169">
        <v>25</v>
      </c>
      <c r="H25" s="169" t="s">
        <v>56</v>
      </c>
      <c r="I25" s="173">
        <v>60</v>
      </c>
      <c r="J25" s="173">
        <v>1.49</v>
      </c>
      <c r="K25" s="173">
        <v>0.4</v>
      </c>
      <c r="L25" s="173"/>
      <c r="M25" s="173">
        <v>50</v>
      </c>
      <c r="N25" s="182">
        <v>40</v>
      </c>
      <c r="O25" s="173">
        <f t="shared" si="0"/>
        <v>90</v>
      </c>
      <c r="P25" s="172">
        <f t="shared" si="1"/>
        <v>23.009999999999998</v>
      </c>
      <c r="Q25" s="173">
        <f t="shared" si="2"/>
        <v>49.17</v>
      </c>
      <c r="R25" s="172">
        <f t="shared" si="3"/>
        <v>162.18</v>
      </c>
      <c r="S25" s="172">
        <f t="shared" si="4"/>
        <v>562.18000000000006</v>
      </c>
      <c r="T25" s="170"/>
      <c r="U25" s="173">
        <f t="shared" si="5"/>
        <v>273.01</v>
      </c>
      <c r="V25" s="173">
        <v>959</v>
      </c>
      <c r="W25" s="172">
        <f t="shared" si="6"/>
        <v>685.99</v>
      </c>
      <c r="X25" s="170"/>
      <c r="Y25" s="170"/>
      <c r="Z25" s="173"/>
      <c r="AA25" s="180" t="s">
        <v>672</v>
      </c>
      <c r="AB25" s="180" t="s">
        <v>672</v>
      </c>
    </row>
    <row r="26" spans="2:28" hidden="1" x14ac:dyDescent="0.25">
      <c r="B26" s="173">
        <v>23</v>
      </c>
      <c r="C26" s="169" t="s">
        <v>55</v>
      </c>
      <c r="D26" s="169">
        <v>400</v>
      </c>
      <c r="E26" s="169">
        <v>400</v>
      </c>
      <c r="F26" s="169">
        <v>1.6</v>
      </c>
      <c r="G26" s="169">
        <v>25</v>
      </c>
      <c r="H26" s="169" t="s">
        <v>57</v>
      </c>
      <c r="I26" s="173">
        <v>37</v>
      </c>
      <c r="J26" s="173">
        <v>0</v>
      </c>
      <c r="K26" s="173">
        <v>0.4</v>
      </c>
      <c r="L26" s="173"/>
      <c r="M26" s="173">
        <v>50</v>
      </c>
      <c r="N26" s="182">
        <v>40</v>
      </c>
      <c r="O26" s="173">
        <f t="shared" si="0"/>
        <v>90</v>
      </c>
      <c r="P26" s="172">
        <f t="shared" si="1"/>
        <v>21.21</v>
      </c>
      <c r="Q26" s="173">
        <f t="shared" si="2"/>
        <v>0</v>
      </c>
      <c r="R26" s="172">
        <f t="shared" si="3"/>
        <v>111.21000000000001</v>
      </c>
      <c r="S26" s="172">
        <f t="shared" si="4"/>
        <v>511.21000000000004</v>
      </c>
      <c r="T26" s="170"/>
      <c r="U26" s="173">
        <f t="shared" si="5"/>
        <v>271.21000000000004</v>
      </c>
      <c r="V26" s="173">
        <v>959</v>
      </c>
      <c r="W26" s="172">
        <f t="shared" si="6"/>
        <v>687.79</v>
      </c>
      <c r="X26" s="170"/>
      <c r="Y26" s="170"/>
      <c r="Z26" s="173"/>
      <c r="AA26" s="180" t="s">
        <v>672</v>
      </c>
      <c r="AB26" s="180" t="s">
        <v>672</v>
      </c>
    </row>
    <row r="27" spans="2:28" hidden="1" x14ac:dyDescent="0.25">
      <c r="B27" s="173">
        <v>24</v>
      </c>
      <c r="C27" s="169" t="s">
        <v>55</v>
      </c>
      <c r="D27" s="169">
        <v>400</v>
      </c>
      <c r="E27" s="169">
        <v>400</v>
      </c>
      <c r="F27" s="169">
        <v>1.6</v>
      </c>
      <c r="G27" s="169">
        <v>25</v>
      </c>
      <c r="H27" s="169" t="s">
        <v>56</v>
      </c>
      <c r="I27" s="173">
        <v>60</v>
      </c>
      <c r="J27" s="173">
        <v>1.49</v>
      </c>
      <c r="K27" s="173">
        <v>0.4</v>
      </c>
      <c r="L27" s="173"/>
      <c r="M27" s="173">
        <v>50</v>
      </c>
      <c r="N27" s="182">
        <v>40</v>
      </c>
      <c r="O27" s="173">
        <f t="shared" si="0"/>
        <v>90</v>
      </c>
      <c r="P27" s="172">
        <f t="shared" si="1"/>
        <v>32.825000000000003</v>
      </c>
      <c r="Q27" s="173">
        <f t="shared" si="2"/>
        <v>49.17</v>
      </c>
      <c r="R27" s="172">
        <f t="shared" si="3"/>
        <v>171.995</v>
      </c>
      <c r="S27" s="172">
        <f t="shared" si="4"/>
        <v>571.995</v>
      </c>
      <c r="T27" s="170"/>
      <c r="U27" s="173">
        <f t="shared" si="5"/>
        <v>282.82499999999999</v>
      </c>
      <c r="V27" s="173">
        <v>959</v>
      </c>
      <c r="W27" s="172">
        <f t="shared" si="6"/>
        <v>676.17499999999995</v>
      </c>
      <c r="X27" s="170"/>
      <c r="Y27" s="170"/>
      <c r="Z27" s="173"/>
      <c r="AA27" s="180" t="s">
        <v>672</v>
      </c>
      <c r="AB27" s="180" t="s">
        <v>672</v>
      </c>
    </row>
    <row r="28" spans="2:28" hidden="1" x14ac:dyDescent="0.25">
      <c r="B28" s="173">
        <v>25</v>
      </c>
      <c r="C28" s="169" t="s">
        <v>55</v>
      </c>
      <c r="D28" s="169">
        <v>400</v>
      </c>
      <c r="E28" s="169">
        <v>400</v>
      </c>
      <c r="F28" s="169">
        <v>1.6</v>
      </c>
      <c r="G28" s="169">
        <v>25</v>
      </c>
      <c r="H28" s="169" t="s">
        <v>54</v>
      </c>
      <c r="I28" s="173">
        <v>80</v>
      </c>
      <c r="J28" s="173">
        <v>2.2400000000000002</v>
      </c>
      <c r="K28" s="173">
        <v>0.4</v>
      </c>
      <c r="L28" s="173"/>
      <c r="M28" s="173">
        <v>50</v>
      </c>
      <c r="N28" s="182">
        <v>40</v>
      </c>
      <c r="O28" s="173">
        <f t="shared" si="0"/>
        <v>90</v>
      </c>
      <c r="P28" s="172">
        <f t="shared" si="1"/>
        <v>42.924999999999997</v>
      </c>
      <c r="Q28" s="173">
        <f t="shared" si="2"/>
        <v>96.320000000000007</v>
      </c>
      <c r="R28" s="172">
        <f t="shared" si="3"/>
        <v>229.245</v>
      </c>
      <c r="S28" s="172">
        <f t="shared" si="4"/>
        <v>629.245</v>
      </c>
      <c r="T28" s="170"/>
      <c r="U28" s="173">
        <f t="shared" si="5"/>
        <v>292.92500000000001</v>
      </c>
      <c r="V28" s="173">
        <v>959</v>
      </c>
      <c r="W28" s="172">
        <f t="shared" si="6"/>
        <v>666.07500000000005</v>
      </c>
      <c r="X28" s="170"/>
      <c r="Y28" s="170"/>
      <c r="Z28" s="173"/>
      <c r="AA28" s="180" t="s">
        <v>672</v>
      </c>
      <c r="AB28" s="180" t="s">
        <v>672</v>
      </c>
    </row>
    <row r="29" spans="2:28" hidden="1" x14ac:dyDescent="0.25">
      <c r="B29" s="173">
        <v>26</v>
      </c>
      <c r="C29" s="169" t="s">
        <v>55</v>
      </c>
      <c r="D29" s="169">
        <v>630</v>
      </c>
      <c r="E29" s="169">
        <v>630</v>
      </c>
      <c r="F29" s="169">
        <v>1</v>
      </c>
      <c r="G29" s="169">
        <v>25</v>
      </c>
      <c r="H29" s="169" t="s">
        <v>57</v>
      </c>
      <c r="I29" s="173">
        <v>37</v>
      </c>
      <c r="J29" s="173">
        <v>0</v>
      </c>
      <c r="K29" s="173">
        <v>0.4</v>
      </c>
      <c r="L29" s="173">
        <v>613.20000000000005</v>
      </c>
      <c r="M29" s="173">
        <v>50</v>
      </c>
      <c r="N29" s="174">
        <v>63</v>
      </c>
      <c r="O29" s="173">
        <f t="shared" si="0"/>
        <v>726.2</v>
      </c>
      <c r="P29" s="172">
        <f t="shared" si="1"/>
        <v>14.867999999999999</v>
      </c>
      <c r="Q29" s="173">
        <f t="shared" si="2"/>
        <v>0</v>
      </c>
      <c r="R29" s="172">
        <f t="shared" si="3"/>
        <v>741.0680000000001</v>
      </c>
      <c r="S29" s="172">
        <f t="shared" si="4"/>
        <v>1371.0680000000002</v>
      </c>
      <c r="T29" s="170" t="s">
        <v>667</v>
      </c>
      <c r="U29" s="173">
        <f t="shared" si="5"/>
        <v>993.0680000000001</v>
      </c>
      <c r="V29" s="173">
        <v>1022</v>
      </c>
      <c r="W29" s="172">
        <f t="shared" si="6"/>
        <v>28.931999999999903</v>
      </c>
      <c r="X29" s="170">
        <v>34</v>
      </c>
      <c r="Y29" s="170">
        <v>11</v>
      </c>
      <c r="Z29" s="171"/>
      <c r="AA29" s="169" t="s">
        <v>673</v>
      </c>
      <c r="AB29" s="169" t="s">
        <v>673</v>
      </c>
    </row>
    <row r="30" spans="2:28" hidden="1" x14ac:dyDescent="0.25">
      <c r="B30" s="173">
        <v>27</v>
      </c>
      <c r="C30" s="169" t="s">
        <v>55</v>
      </c>
      <c r="D30" s="169">
        <v>630</v>
      </c>
      <c r="E30" s="169">
        <v>630</v>
      </c>
      <c r="F30" s="169">
        <v>1</v>
      </c>
      <c r="G30" s="169">
        <v>25</v>
      </c>
      <c r="H30" s="169" t="s">
        <v>56</v>
      </c>
      <c r="I30" s="173">
        <v>60</v>
      </c>
      <c r="J30" s="173">
        <v>1.49</v>
      </c>
      <c r="K30" s="173">
        <v>0.4</v>
      </c>
      <c r="L30" s="173">
        <v>613.20000000000005</v>
      </c>
      <c r="M30" s="173">
        <v>50</v>
      </c>
      <c r="N30" s="174">
        <v>63</v>
      </c>
      <c r="O30" s="173">
        <f t="shared" si="0"/>
        <v>726.2</v>
      </c>
      <c r="P30" s="172">
        <f t="shared" si="1"/>
        <v>23.009999999999998</v>
      </c>
      <c r="Q30" s="173">
        <f t="shared" si="2"/>
        <v>49.17</v>
      </c>
      <c r="R30" s="172">
        <f t="shared" si="3"/>
        <v>798.38</v>
      </c>
      <c r="S30" s="172">
        <f t="shared" si="4"/>
        <v>1428.38</v>
      </c>
      <c r="T30" s="170" t="s">
        <v>53</v>
      </c>
      <c r="U30" s="173">
        <f t="shared" si="5"/>
        <v>1001.21</v>
      </c>
      <c r="V30" s="173">
        <v>1022</v>
      </c>
      <c r="W30" s="172">
        <f t="shared" si="6"/>
        <v>20.789999999999964</v>
      </c>
      <c r="X30" s="170">
        <v>34</v>
      </c>
      <c r="Y30" s="170">
        <v>11</v>
      </c>
      <c r="Z30" s="171"/>
      <c r="AA30" s="169" t="s">
        <v>673</v>
      </c>
      <c r="AB30" s="169" t="s">
        <v>673</v>
      </c>
    </row>
    <row r="31" spans="2:28" hidden="1" x14ac:dyDescent="0.25">
      <c r="B31" s="173">
        <v>28</v>
      </c>
      <c r="C31" s="169" t="s">
        <v>55</v>
      </c>
      <c r="D31" s="169">
        <v>630</v>
      </c>
      <c r="E31" s="169">
        <v>630</v>
      </c>
      <c r="F31" s="169">
        <v>1.6</v>
      </c>
      <c r="G31" s="169">
        <v>25</v>
      </c>
      <c r="H31" s="169" t="s">
        <v>57</v>
      </c>
      <c r="I31" s="173">
        <v>37</v>
      </c>
      <c r="J31" s="173">
        <v>0</v>
      </c>
      <c r="K31" s="173">
        <v>0.4</v>
      </c>
      <c r="L31" s="173">
        <v>613.20000000000005</v>
      </c>
      <c r="M31" s="173">
        <v>50</v>
      </c>
      <c r="N31" s="174">
        <v>63</v>
      </c>
      <c r="O31" s="173">
        <f t="shared" si="0"/>
        <v>726.2</v>
      </c>
      <c r="P31" s="172">
        <f t="shared" si="1"/>
        <v>21.21</v>
      </c>
      <c r="Q31" s="173">
        <f t="shared" si="2"/>
        <v>0</v>
      </c>
      <c r="R31" s="172">
        <f t="shared" si="3"/>
        <v>747.41000000000008</v>
      </c>
      <c r="S31" s="172">
        <f t="shared" si="4"/>
        <v>1377.41</v>
      </c>
      <c r="T31" s="170" t="s">
        <v>53</v>
      </c>
      <c r="U31" s="173">
        <f t="shared" si="5"/>
        <v>999.41000000000008</v>
      </c>
      <c r="V31" s="173">
        <v>1022</v>
      </c>
      <c r="W31" s="172">
        <f t="shared" si="6"/>
        <v>22.589999999999918</v>
      </c>
      <c r="X31" s="170">
        <v>34</v>
      </c>
      <c r="Y31" s="170">
        <v>11</v>
      </c>
      <c r="Z31" s="171"/>
      <c r="AA31" s="169" t="s">
        <v>673</v>
      </c>
      <c r="AB31" s="169" t="s">
        <v>673</v>
      </c>
    </row>
    <row r="32" spans="2:28" hidden="1" x14ac:dyDescent="0.25">
      <c r="B32" s="173">
        <v>29</v>
      </c>
      <c r="C32" s="169" t="s">
        <v>55</v>
      </c>
      <c r="D32" s="169">
        <v>630</v>
      </c>
      <c r="E32" s="169">
        <v>630</v>
      </c>
      <c r="F32" s="169">
        <v>1.6</v>
      </c>
      <c r="G32" s="169">
        <v>25</v>
      </c>
      <c r="H32" s="169" t="s">
        <v>56</v>
      </c>
      <c r="I32" s="173">
        <v>60</v>
      </c>
      <c r="J32" s="173">
        <v>1.49</v>
      </c>
      <c r="K32" s="173">
        <v>0.4</v>
      </c>
      <c r="L32" s="173">
        <v>613.20000000000005</v>
      </c>
      <c r="M32" s="173">
        <v>50</v>
      </c>
      <c r="N32" s="174">
        <v>63</v>
      </c>
      <c r="O32" s="173">
        <f t="shared" si="0"/>
        <v>726.2</v>
      </c>
      <c r="P32" s="172">
        <f t="shared" si="1"/>
        <v>32.825000000000003</v>
      </c>
      <c r="Q32" s="173">
        <f t="shared" si="2"/>
        <v>49.17</v>
      </c>
      <c r="R32" s="172">
        <f t="shared" si="3"/>
        <v>808.19500000000005</v>
      </c>
      <c r="S32" s="172">
        <f t="shared" si="4"/>
        <v>1438.1950000000002</v>
      </c>
      <c r="T32" s="170" t="s">
        <v>53</v>
      </c>
      <c r="U32" s="173">
        <f t="shared" si="5"/>
        <v>1011.0250000000001</v>
      </c>
      <c r="V32" s="173">
        <v>1022</v>
      </c>
      <c r="W32" s="172">
        <f t="shared" si="6"/>
        <v>10.974999999999909</v>
      </c>
      <c r="X32" s="170">
        <v>34</v>
      </c>
      <c r="Y32" s="170">
        <v>11</v>
      </c>
      <c r="Z32" s="171"/>
      <c r="AA32" s="169" t="s">
        <v>673</v>
      </c>
      <c r="AB32" s="169" t="s">
        <v>673</v>
      </c>
    </row>
    <row r="33" spans="2:28" hidden="1" x14ac:dyDescent="0.25">
      <c r="B33" s="173">
        <v>30</v>
      </c>
      <c r="C33" s="169" t="s">
        <v>55</v>
      </c>
      <c r="D33" s="169">
        <v>630</v>
      </c>
      <c r="E33" s="169">
        <v>630</v>
      </c>
      <c r="F33" s="169">
        <v>1.6</v>
      </c>
      <c r="G33" s="169">
        <v>25</v>
      </c>
      <c r="H33" s="169" t="s">
        <v>54</v>
      </c>
      <c r="I33" s="173">
        <v>80</v>
      </c>
      <c r="J33" s="173">
        <v>2.2400000000000002</v>
      </c>
      <c r="K33" s="173">
        <v>0.4</v>
      </c>
      <c r="L33" s="173">
        <v>613.20000000000005</v>
      </c>
      <c r="M33" s="173">
        <v>50</v>
      </c>
      <c r="N33" s="174">
        <v>63</v>
      </c>
      <c r="O33" s="173">
        <f t="shared" si="0"/>
        <v>726.2</v>
      </c>
      <c r="P33" s="172">
        <f t="shared" si="1"/>
        <v>42.924999999999997</v>
      </c>
      <c r="Q33" s="173">
        <f t="shared" si="2"/>
        <v>96.320000000000007</v>
      </c>
      <c r="R33" s="172">
        <f t="shared" si="3"/>
        <v>865.44500000000005</v>
      </c>
      <c r="S33" s="172">
        <f t="shared" si="4"/>
        <v>1495.4450000000002</v>
      </c>
      <c r="T33" s="170" t="s">
        <v>53</v>
      </c>
      <c r="U33" s="173">
        <f t="shared" si="5"/>
        <v>1021.125</v>
      </c>
      <c r="V33" s="173">
        <v>1022</v>
      </c>
      <c r="W33" s="172">
        <f t="shared" si="6"/>
        <v>0.875</v>
      </c>
      <c r="X33" s="170">
        <v>34</v>
      </c>
      <c r="Y33" s="170">
        <v>11</v>
      </c>
      <c r="Z33" s="171"/>
      <c r="AA33" s="169" t="s">
        <v>673</v>
      </c>
      <c r="AB33" s="169" t="s">
        <v>673</v>
      </c>
    </row>
    <row r="34" spans="2:28" hidden="1" x14ac:dyDescent="0.25">
      <c r="B34" s="173">
        <v>31</v>
      </c>
      <c r="C34" s="169" t="s">
        <v>55</v>
      </c>
      <c r="D34" s="169">
        <v>1000</v>
      </c>
      <c r="E34" s="169" t="s">
        <v>63</v>
      </c>
      <c r="F34" s="169">
        <v>1</v>
      </c>
      <c r="G34" s="169">
        <v>25</v>
      </c>
      <c r="H34" s="169" t="s">
        <v>62</v>
      </c>
      <c r="I34" s="173">
        <v>30</v>
      </c>
      <c r="J34" s="173">
        <v>0</v>
      </c>
      <c r="K34" s="173">
        <v>0.4</v>
      </c>
      <c r="L34" s="173">
        <v>736.19999999999993</v>
      </c>
      <c r="M34" s="173">
        <v>50</v>
      </c>
      <c r="N34" s="174">
        <v>100</v>
      </c>
      <c r="O34" s="173">
        <f t="shared" si="0"/>
        <v>886.19999999999993</v>
      </c>
      <c r="P34" s="172">
        <f t="shared" si="1"/>
        <v>12.389999999999999</v>
      </c>
      <c r="Q34" s="173">
        <f t="shared" si="2"/>
        <v>0</v>
      </c>
      <c r="R34" s="172">
        <f t="shared" si="3"/>
        <v>898.58999999999992</v>
      </c>
      <c r="S34" s="172">
        <f t="shared" si="4"/>
        <v>1898.59</v>
      </c>
      <c r="T34" s="170" t="s">
        <v>58</v>
      </c>
      <c r="U34" s="173">
        <f t="shared" si="5"/>
        <v>1298.5899999999999</v>
      </c>
      <c r="V34" s="173">
        <v>1330</v>
      </c>
      <c r="W34" s="172">
        <f t="shared" si="6"/>
        <v>31.410000000000082</v>
      </c>
      <c r="X34" s="171"/>
      <c r="Y34" s="170">
        <v>42</v>
      </c>
      <c r="Z34" s="170">
        <v>14</v>
      </c>
      <c r="AA34" s="176" t="s">
        <v>674</v>
      </c>
      <c r="AB34" s="176" t="s">
        <v>674</v>
      </c>
    </row>
    <row r="35" spans="2:28" hidden="1" x14ac:dyDescent="0.25">
      <c r="B35" s="173">
        <v>32</v>
      </c>
      <c r="C35" s="169" t="s">
        <v>55</v>
      </c>
      <c r="D35" s="169">
        <v>1000</v>
      </c>
      <c r="E35" s="169" t="s">
        <v>63</v>
      </c>
      <c r="F35" s="169">
        <v>1</v>
      </c>
      <c r="G35" s="169">
        <v>25</v>
      </c>
      <c r="H35" s="169" t="s">
        <v>61</v>
      </c>
      <c r="I35" s="173">
        <v>60</v>
      </c>
      <c r="J35" s="173">
        <v>2.98</v>
      </c>
      <c r="K35" s="173">
        <v>0.4</v>
      </c>
      <c r="L35" s="173">
        <v>736.19999999999993</v>
      </c>
      <c r="M35" s="173">
        <v>50</v>
      </c>
      <c r="N35" s="174">
        <v>100</v>
      </c>
      <c r="O35" s="173">
        <f t="shared" si="0"/>
        <v>886.19999999999993</v>
      </c>
      <c r="P35" s="172">
        <f t="shared" si="1"/>
        <v>23.009999999999998</v>
      </c>
      <c r="Q35" s="173">
        <f t="shared" si="2"/>
        <v>98.34</v>
      </c>
      <c r="R35" s="172">
        <f t="shared" si="3"/>
        <v>1007.55</v>
      </c>
      <c r="S35" s="172">
        <f t="shared" si="4"/>
        <v>2007.55</v>
      </c>
      <c r="T35" s="170" t="s">
        <v>58</v>
      </c>
      <c r="U35" s="173">
        <f t="shared" si="5"/>
        <v>1309.21</v>
      </c>
      <c r="V35" s="173">
        <v>1330</v>
      </c>
      <c r="W35" s="172">
        <f t="shared" si="6"/>
        <v>20.789999999999964</v>
      </c>
      <c r="X35" s="171"/>
      <c r="Y35" s="170">
        <v>42</v>
      </c>
      <c r="Z35" s="170">
        <v>14</v>
      </c>
      <c r="AA35" s="176" t="s">
        <v>674</v>
      </c>
      <c r="AB35" s="176" t="s">
        <v>674</v>
      </c>
    </row>
    <row r="36" spans="2:28" hidden="1" x14ac:dyDescent="0.25">
      <c r="B36" s="173">
        <v>33</v>
      </c>
      <c r="C36" s="169" t="s">
        <v>55</v>
      </c>
      <c r="D36" s="169">
        <v>1000</v>
      </c>
      <c r="E36" s="169" t="s">
        <v>63</v>
      </c>
      <c r="F36" s="169">
        <v>1.6</v>
      </c>
      <c r="G36" s="169">
        <v>25</v>
      </c>
      <c r="H36" s="169" t="s">
        <v>62</v>
      </c>
      <c r="I36" s="173">
        <v>30</v>
      </c>
      <c r="J36" s="173">
        <v>0</v>
      </c>
      <c r="K36" s="173">
        <v>0.4</v>
      </c>
      <c r="L36" s="173">
        <v>736.19999999999993</v>
      </c>
      <c r="M36" s="173">
        <v>50</v>
      </c>
      <c r="N36" s="174">
        <v>100</v>
      </c>
      <c r="O36" s="173">
        <f t="shared" ref="O36:O67" si="7">L36+M36+N36</f>
        <v>886.19999999999993</v>
      </c>
      <c r="P36" s="172">
        <f t="shared" ref="P36:P67" si="8">(I36+5)*IF(F36=1,0.708,1.01)/2</f>
        <v>17.675000000000001</v>
      </c>
      <c r="Q36" s="173">
        <f t="shared" ref="Q36:Q67" si="9">ROUNDUP(I36+6,0)*J36/2</f>
        <v>0</v>
      </c>
      <c r="R36" s="172">
        <f t="shared" ref="R36:R67" si="10">O36+P36+Q36</f>
        <v>903.87499999999989</v>
      </c>
      <c r="S36" s="172">
        <f t="shared" ref="S36:S67" si="11">R36+D36</f>
        <v>1903.875</v>
      </c>
      <c r="T36" s="170" t="s">
        <v>58</v>
      </c>
      <c r="U36" s="173">
        <f t="shared" ref="U36:U67" si="12">O36+P36+K36*D36</f>
        <v>1303.875</v>
      </c>
      <c r="V36" s="173">
        <v>1330</v>
      </c>
      <c r="W36" s="172">
        <f t="shared" ref="W36:W67" si="13">V36-U36</f>
        <v>26.125</v>
      </c>
      <c r="X36" s="171"/>
      <c r="Y36" s="170">
        <v>42</v>
      </c>
      <c r="Z36" s="170">
        <v>14</v>
      </c>
      <c r="AA36" s="176" t="s">
        <v>674</v>
      </c>
      <c r="AB36" s="176" t="s">
        <v>674</v>
      </c>
    </row>
    <row r="37" spans="2:28" hidden="1" x14ac:dyDescent="0.25">
      <c r="B37" s="173">
        <v>34</v>
      </c>
      <c r="C37" s="169" t="s">
        <v>55</v>
      </c>
      <c r="D37" s="169">
        <v>1000</v>
      </c>
      <c r="E37" s="169" t="s">
        <v>63</v>
      </c>
      <c r="F37" s="169">
        <v>1.6</v>
      </c>
      <c r="G37" s="169">
        <v>25</v>
      </c>
      <c r="H37" s="169" t="s">
        <v>61</v>
      </c>
      <c r="I37" s="173">
        <v>60</v>
      </c>
      <c r="J37" s="173">
        <v>2.98</v>
      </c>
      <c r="K37" s="173">
        <v>0.4</v>
      </c>
      <c r="L37" s="173">
        <v>736.19999999999993</v>
      </c>
      <c r="M37" s="173">
        <v>50</v>
      </c>
      <c r="N37" s="174">
        <v>100</v>
      </c>
      <c r="O37" s="173">
        <f t="shared" si="7"/>
        <v>886.19999999999993</v>
      </c>
      <c r="P37" s="172">
        <f t="shared" si="8"/>
        <v>32.825000000000003</v>
      </c>
      <c r="Q37" s="173">
        <f t="shared" si="9"/>
        <v>98.34</v>
      </c>
      <c r="R37" s="172">
        <f t="shared" si="10"/>
        <v>1017.365</v>
      </c>
      <c r="S37" s="172">
        <f t="shared" si="11"/>
        <v>2017.365</v>
      </c>
      <c r="T37" s="170" t="s">
        <v>58</v>
      </c>
      <c r="U37" s="173">
        <f t="shared" si="12"/>
        <v>1319.0250000000001</v>
      </c>
      <c r="V37" s="173">
        <v>1330</v>
      </c>
      <c r="W37" s="172">
        <f t="shared" si="13"/>
        <v>10.974999999999909</v>
      </c>
      <c r="X37" s="171"/>
      <c r="Y37" s="170">
        <v>42</v>
      </c>
      <c r="Z37" s="170">
        <v>14</v>
      </c>
      <c r="AA37" s="176" t="s">
        <v>674</v>
      </c>
      <c r="AB37" s="169" t="s">
        <v>673</v>
      </c>
    </row>
    <row r="38" spans="2:28" hidden="1" x14ac:dyDescent="0.25">
      <c r="B38" s="173">
        <v>35</v>
      </c>
      <c r="C38" s="169" t="s">
        <v>55</v>
      </c>
      <c r="D38" s="169">
        <v>1000</v>
      </c>
      <c r="E38" s="169" t="s">
        <v>63</v>
      </c>
      <c r="F38" s="169">
        <v>1.6</v>
      </c>
      <c r="G38" s="169">
        <v>25</v>
      </c>
      <c r="H38" s="169" t="s">
        <v>54</v>
      </c>
      <c r="I38" s="173">
        <v>80</v>
      </c>
      <c r="J38" s="173">
        <v>2.98</v>
      </c>
      <c r="K38" s="173">
        <v>0.4</v>
      </c>
      <c r="L38" s="173">
        <v>736.19999999999993</v>
      </c>
      <c r="M38" s="173">
        <v>50</v>
      </c>
      <c r="N38" s="174">
        <v>100</v>
      </c>
      <c r="O38" s="173">
        <f t="shared" si="7"/>
        <v>886.19999999999993</v>
      </c>
      <c r="P38" s="172">
        <f t="shared" si="8"/>
        <v>42.924999999999997</v>
      </c>
      <c r="Q38" s="173">
        <f t="shared" si="9"/>
        <v>128.13999999999999</v>
      </c>
      <c r="R38" s="172">
        <f t="shared" si="10"/>
        <v>1057.2649999999999</v>
      </c>
      <c r="S38" s="172">
        <f t="shared" si="11"/>
        <v>2057.2649999999999</v>
      </c>
      <c r="T38" s="170" t="s">
        <v>58</v>
      </c>
      <c r="U38" s="173">
        <f t="shared" si="12"/>
        <v>1329.125</v>
      </c>
      <c r="V38" s="173">
        <v>1330</v>
      </c>
      <c r="W38" s="172">
        <f t="shared" si="13"/>
        <v>0.875</v>
      </c>
      <c r="X38" s="171"/>
      <c r="Y38" s="170">
        <v>42</v>
      </c>
      <c r="Z38" s="170">
        <v>14</v>
      </c>
      <c r="AA38" s="169" t="s">
        <v>673</v>
      </c>
      <c r="AB38" s="169" t="s">
        <v>673</v>
      </c>
    </row>
    <row r="39" spans="2:28" hidden="1" x14ac:dyDescent="0.25">
      <c r="B39" s="173">
        <v>36</v>
      </c>
      <c r="C39" s="169" t="s">
        <v>55</v>
      </c>
      <c r="D39" s="169">
        <v>1000</v>
      </c>
      <c r="E39" s="169" t="s">
        <v>59</v>
      </c>
      <c r="F39" s="169">
        <v>1</v>
      </c>
      <c r="G39" s="169">
        <v>25</v>
      </c>
      <c r="H39" s="169" t="s">
        <v>62</v>
      </c>
      <c r="I39" s="173">
        <v>30</v>
      </c>
      <c r="J39" s="173">
        <v>0</v>
      </c>
      <c r="K39" s="173">
        <v>0.4</v>
      </c>
      <c r="L39" s="173">
        <v>838.7</v>
      </c>
      <c r="M39" s="173">
        <v>50</v>
      </c>
      <c r="N39" s="174">
        <v>100</v>
      </c>
      <c r="O39" s="173">
        <f t="shared" si="7"/>
        <v>988.7</v>
      </c>
      <c r="P39" s="172">
        <f t="shared" si="8"/>
        <v>12.389999999999999</v>
      </c>
      <c r="Q39" s="173">
        <f t="shared" si="9"/>
        <v>0</v>
      </c>
      <c r="R39" s="172">
        <f t="shared" si="10"/>
        <v>1001.09</v>
      </c>
      <c r="S39" s="172">
        <f t="shared" si="11"/>
        <v>2001.0900000000001</v>
      </c>
      <c r="T39" s="170" t="s">
        <v>58</v>
      </c>
      <c r="U39" s="173">
        <f t="shared" si="12"/>
        <v>1401.0900000000001</v>
      </c>
      <c r="V39" s="173">
        <v>1432</v>
      </c>
      <c r="W39" s="172">
        <f t="shared" si="13"/>
        <v>30.909999999999854</v>
      </c>
      <c r="X39" s="171"/>
      <c r="Y39" s="170">
        <v>39</v>
      </c>
      <c r="Z39" s="170">
        <v>29</v>
      </c>
      <c r="AA39" s="169" t="s">
        <v>673</v>
      </c>
      <c r="AB39" s="169" t="s">
        <v>673</v>
      </c>
    </row>
    <row r="40" spans="2:28" hidden="1" x14ac:dyDescent="0.25">
      <c r="B40" s="173">
        <v>37</v>
      </c>
      <c r="C40" s="169" t="s">
        <v>55</v>
      </c>
      <c r="D40" s="169">
        <v>1000</v>
      </c>
      <c r="E40" s="169" t="s">
        <v>59</v>
      </c>
      <c r="F40" s="169">
        <v>1</v>
      </c>
      <c r="G40" s="169">
        <v>25</v>
      </c>
      <c r="H40" s="169" t="s">
        <v>61</v>
      </c>
      <c r="I40" s="173">
        <v>60</v>
      </c>
      <c r="J40" s="173">
        <v>2.98</v>
      </c>
      <c r="K40" s="173">
        <v>0.4</v>
      </c>
      <c r="L40" s="173">
        <v>838.7</v>
      </c>
      <c r="M40" s="173">
        <v>50</v>
      </c>
      <c r="N40" s="174">
        <v>100</v>
      </c>
      <c r="O40" s="173">
        <f t="shared" si="7"/>
        <v>988.7</v>
      </c>
      <c r="P40" s="172">
        <f t="shared" si="8"/>
        <v>23.009999999999998</v>
      </c>
      <c r="Q40" s="173">
        <f t="shared" si="9"/>
        <v>98.34</v>
      </c>
      <c r="R40" s="172">
        <f t="shared" si="10"/>
        <v>1110.05</v>
      </c>
      <c r="S40" s="172">
        <f t="shared" si="11"/>
        <v>2110.0500000000002</v>
      </c>
      <c r="T40" s="170" t="s">
        <v>58</v>
      </c>
      <c r="U40" s="173">
        <f t="shared" si="12"/>
        <v>1411.71</v>
      </c>
      <c r="V40" s="173">
        <v>1432</v>
      </c>
      <c r="W40" s="172">
        <f t="shared" si="13"/>
        <v>20.289999999999964</v>
      </c>
      <c r="X40" s="171"/>
      <c r="Y40" s="170">
        <v>39</v>
      </c>
      <c r="Z40" s="170">
        <v>29</v>
      </c>
      <c r="AA40" s="169" t="s">
        <v>673</v>
      </c>
      <c r="AB40" s="169" t="s">
        <v>673</v>
      </c>
    </row>
    <row r="41" spans="2:28" hidden="1" x14ac:dyDescent="0.25">
      <c r="B41" s="173">
        <v>38</v>
      </c>
      <c r="C41" s="169" t="s">
        <v>55</v>
      </c>
      <c r="D41" s="169">
        <v>1000</v>
      </c>
      <c r="E41" s="169" t="s">
        <v>59</v>
      </c>
      <c r="F41" s="169">
        <v>1.6</v>
      </c>
      <c r="G41" s="169">
        <v>25</v>
      </c>
      <c r="H41" s="169" t="s">
        <v>62</v>
      </c>
      <c r="I41" s="173">
        <v>30</v>
      </c>
      <c r="J41" s="173">
        <v>0</v>
      </c>
      <c r="K41" s="173">
        <v>0.4</v>
      </c>
      <c r="L41" s="173">
        <v>838.7</v>
      </c>
      <c r="M41" s="173">
        <v>50</v>
      </c>
      <c r="N41" s="174">
        <v>100</v>
      </c>
      <c r="O41" s="173">
        <f t="shared" si="7"/>
        <v>988.7</v>
      </c>
      <c r="P41" s="172">
        <f t="shared" si="8"/>
        <v>17.675000000000001</v>
      </c>
      <c r="Q41" s="173">
        <f t="shared" si="9"/>
        <v>0</v>
      </c>
      <c r="R41" s="172">
        <f t="shared" si="10"/>
        <v>1006.375</v>
      </c>
      <c r="S41" s="172">
        <f t="shared" si="11"/>
        <v>2006.375</v>
      </c>
      <c r="T41" s="170" t="s">
        <v>58</v>
      </c>
      <c r="U41" s="173">
        <f t="shared" si="12"/>
        <v>1406.375</v>
      </c>
      <c r="V41" s="173">
        <v>1432</v>
      </c>
      <c r="W41" s="172">
        <f t="shared" si="13"/>
        <v>25.625</v>
      </c>
      <c r="X41" s="171"/>
      <c r="Y41" s="170">
        <v>39</v>
      </c>
      <c r="Z41" s="170">
        <v>29</v>
      </c>
      <c r="AA41" s="169" t="s">
        <v>673</v>
      </c>
      <c r="AB41" s="169" t="s">
        <v>673</v>
      </c>
    </row>
    <row r="42" spans="2:28" hidden="1" x14ac:dyDescent="0.25">
      <c r="B42" s="173">
        <v>39</v>
      </c>
      <c r="C42" s="169" t="s">
        <v>55</v>
      </c>
      <c r="D42" s="169">
        <v>1000</v>
      </c>
      <c r="E42" s="169" t="s">
        <v>59</v>
      </c>
      <c r="F42" s="169">
        <v>1.6</v>
      </c>
      <c r="G42" s="169">
        <v>25</v>
      </c>
      <c r="H42" s="169" t="s">
        <v>61</v>
      </c>
      <c r="I42" s="173">
        <v>60</v>
      </c>
      <c r="J42" s="173">
        <v>2.98</v>
      </c>
      <c r="K42" s="173">
        <v>0.4</v>
      </c>
      <c r="L42" s="173">
        <v>838.7</v>
      </c>
      <c r="M42" s="173">
        <v>50</v>
      </c>
      <c r="N42" s="174">
        <v>100</v>
      </c>
      <c r="O42" s="173">
        <f t="shared" si="7"/>
        <v>988.7</v>
      </c>
      <c r="P42" s="172">
        <f t="shared" si="8"/>
        <v>32.825000000000003</v>
      </c>
      <c r="Q42" s="173">
        <f t="shared" si="9"/>
        <v>98.34</v>
      </c>
      <c r="R42" s="172">
        <f t="shared" si="10"/>
        <v>1119.865</v>
      </c>
      <c r="S42" s="172">
        <f t="shared" si="11"/>
        <v>2119.8649999999998</v>
      </c>
      <c r="T42" s="170" t="s">
        <v>58</v>
      </c>
      <c r="U42" s="173">
        <f t="shared" si="12"/>
        <v>1421.5250000000001</v>
      </c>
      <c r="V42" s="173">
        <v>1432</v>
      </c>
      <c r="W42" s="172">
        <f t="shared" si="13"/>
        <v>10.474999999999909</v>
      </c>
      <c r="X42" s="171"/>
      <c r="Y42" s="170">
        <v>39</v>
      </c>
      <c r="Z42" s="170">
        <v>29</v>
      </c>
      <c r="AA42" s="169" t="s">
        <v>673</v>
      </c>
      <c r="AB42" s="169" t="s">
        <v>673</v>
      </c>
    </row>
    <row r="43" spans="2:28" hidden="1" x14ac:dyDescent="0.25">
      <c r="B43" s="173">
        <v>40</v>
      </c>
      <c r="C43" s="169" t="s">
        <v>55</v>
      </c>
      <c r="D43" s="169">
        <v>1000</v>
      </c>
      <c r="E43" s="169" t="s">
        <v>59</v>
      </c>
      <c r="F43" s="169">
        <v>1.6</v>
      </c>
      <c r="G43" s="169">
        <v>25</v>
      </c>
      <c r="H43" s="169" t="s">
        <v>54</v>
      </c>
      <c r="I43" s="173">
        <v>80</v>
      </c>
      <c r="J43" s="173">
        <v>2.98</v>
      </c>
      <c r="K43" s="173">
        <v>0.4</v>
      </c>
      <c r="L43" s="173">
        <v>838.7</v>
      </c>
      <c r="M43" s="173">
        <v>50</v>
      </c>
      <c r="N43" s="174">
        <v>100</v>
      </c>
      <c r="O43" s="173">
        <f t="shared" si="7"/>
        <v>988.7</v>
      </c>
      <c r="P43" s="172">
        <f t="shared" si="8"/>
        <v>42.924999999999997</v>
      </c>
      <c r="Q43" s="173">
        <f t="shared" si="9"/>
        <v>128.13999999999999</v>
      </c>
      <c r="R43" s="172">
        <f t="shared" si="10"/>
        <v>1159.7649999999999</v>
      </c>
      <c r="S43" s="172">
        <f t="shared" si="11"/>
        <v>2159.7649999999999</v>
      </c>
      <c r="T43" s="170" t="s">
        <v>669</v>
      </c>
      <c r="U43" s="173">
        <f t="shared" si="12"/>
        <v>1431.625</v>
      </c>
      <c r="V43" s="173">
        <v>1432</v>
      </c>
      <c r="W43" s="172">
        <f t="shared" si="13"/>
        <v>0.375</v>
      </c>
      <c r="X43" s="171"/>
      <c r="Y43" s="170">
        <v>39</v>
      </c>
      <c r="Z43" s="170">
        <v>29</v>
      </c>
      <c r="AA43" s="169" t="s">
        <v>673</v>
      </c>
      <c r="AB43" s="169" t="s">
        <v>673</v>
      </c>
    </row>
    <row r="44" spans="2:28" hidden="1" x14ac:dyDescent="0.25">
      <c r="B44" s="173">
        <v>41</v>
      </c>
      <c r="C44" s="169" t="s">
        <v>60</v>
      </c>
      <c r="D44" s="169">
        <v>400</v>
      </c>
      <c r="E44" s="169">
        <v>400</v>
      </c>
      <c r="F44" s="169">
        <v>1</v>
      </c>
      <c r="G44" s="169">
        <v>3</v>
      </c>
      <c r="H44" s="169" t="s">
        <v>57</v>
      </c>
      <c r="I44" s="173">
        <v>37</v>
      </c>
      <c r="J44" s="173">
        <v>0</v>
      </c>
      <c r="K44" s="173">
        <v>0.4</v>
      </c>
      <c r="L44" s="173">
        <f>L4+48</f>
        <v>48</v>
      </c>
      <c r="M44" s="173">
        <v>50</v>
      </c>
      <c r="N44" s="173">
        <v>5.61</v>
      </c>
      <c r="O44" s="173">
        <f t="shared" si="7"/>
        <v>103.61</v>
      </c>
      <c r="P44" s="172">
        <f t="shared" si="8"/>
        <v>14.867999999999999</v>
      </c>
      <c r="Q44" s="173">
        <f t="shared" si="9"/>
        <v>0</v>
      </c>
      <c r="R44" s="172">
        <f t="shared" si="10"/>
        <v>118.47799999999999</v>
      </c>
      <c r="S44" s="172">
        <f t="shared" si="11"/>
        <v>518.47799999999995</v>
      </c>
      <c r="T44" s="170"/>
      <c r="U44" s="173">
        <f t="shared" si="12"/>
        <v>278.47800000000001</v>
      </c>
      <c r="V44" s="173">
        <v>959</v>
      </c>
      <c r="W44" s="172">
        <f t="shared" si="13"/>
        <v>680.52199999999993</v>
      </c>
      <c r="X44" s="170"/>
      <c r="Y44" s="170"/>
      <c r="Z44" s="173"/>
      <c r="AA44" s="180" t="s">
        <v>672</v>
      </c>
      <c r="AB44" s="180" t="s">
        <v>672</v>
      </c>
    </row>
    <row r="45" spans="2:28" hidden="1" x14ac:dyDescent="0.25">
      <c r="B45" s="173">
        <v>42</v>
      </c>
      <c r="C45" s="169" t="s">
        <v>60</v>
      </c>
      <c r="D45" s="169">
        <v>400</v>
      </c>
      <c r="E45" s="169">
        <v>400</v>
      </c>
      <c r="F45" s="169">
        <v>1</v>
      </c>
      <c r="G45" s="169">
        <v>3</v>
      </c>
      <c r="H45" s="169" t="s">
        <v>56</v>
      </c>
      <c r="I45" s="173">
        <v>60</v>
      </c>
      <c r="J45" s="173">
        <v>1.49</v>
      </c>
      <c r="K45" s="173">
        <v>0.4</v>
      </c>
      <c r="L45" s="173">
        <f>L5+48</f>
        <v>48</v>
      </c>
      <c r="M45" s="173">
        <v>50</v>
      </c>
      <c r="N45" s="173">
        <v>5.61</v>
      </c>
      <c r="O45" s="173">
        <f t="shared" si="7"/>
        <v>103.61</v>
      </c>
      <c r="P45" s="172">
        <f t="shared" si="8"/>
        <v>23.009999999999998</v>
      </c>
      <c r="Q45" s="173">
        <f t="shared" si="9"/>
        <v>49.17</v>
      </c>
      <c r="R45" s="172">
        <f t="shared" si="10"/>
        <v>175.79000000000002</v>
      </c>
      <c r="S45" s="172">
        <f t="shared" si="11"/>
        <v>575.79</v>
      </c>
      <c r="T45" s="170"/>
      <c r="U45" s="173">
        <f t="shared" si="12"/>
        <v>286.62</v>
      </c>
      <c r="V45" s="173">
        <v>959</v>
      </c>
      <c r="W45" s="172">
        <f t="shared" si="13"/>
        <v>672.38</v>
      </c>
      <c r="X45" s="170"/>
      <c r="Y45" s="170"/>
      <c r="Z45" s="173"/>
      <c r="AA45" s="180" t="s">
        <v>672</v>
      </c>
      <c r="AB45" s="180" t="s">
        <v>672</v>
      </c>
    </row>
    <row r="46" spans="2:28" hidden="1" x14ac:dyDescent="0.25">
      <c r="B46" s="173">
        <v>43</v>
      </c>
      <c r="C46" s="169" t="s">
        <v>60</v>
      </c>
      <c r="D46" s="169">
        <v>400</v>
      </c>
      <c r="E46" s="169">
        <v>400</v>
      </c>
      <c r="F46" s="169">
        <v>1.6</v>
      </c>
      <c r="G46" s="169">
        <v>3</v>
      </c>
      <c r="H46" s="169" t="s">
        <v>57</v>
      </c>
      <c r="I46" s="173">
        <v>37</v>
      </c>
      <c r="J46" s="173">
        <v>0</v>
      </c>
      <c r="K46" s="173">
        <v>0.4</v>
      </c>
      <c r="L46" s="173">
        <f>L6+48</f>
        <v>48</v>
      </c>
      <c r="M46" s="173">
        <v>50</v>
      </c>
      <c r="N46" s="173">
        <v>5.61</v>
      </c>
      <c r="O46" s="173">
        <f t="shared" si="7"/>
        <v>103.61</v>
      </c>
      <c r="P46" s="172">
        <f t="shared" si="8"/>
        <v>21.21</v>
      </c>
      <c r="Q46" s="173">
        <f t="shared" si="9"/>
        <v>0</v>
      </c>
      <c r="R46" s="172">
        <f t="shared" si="10"/>
        <v>124.82</v>
      </c>
      <c r="S46" s="172">
        <f t="shared" si="11"/>
        <v>524.81999999999994</v>
      </c>
      <c r="T46" s="170"/>
      <c r="U46" s="173">
        <f t="shared" si="12"/>
        <v>284.82</v>
      </c>
      <c r="V46" s="173">
        <v>959</v>
      </c>
      <c r="W46" s="172">
        <f t="shared" si="13"/>
        <v>674.18000000000006</v>
      </c>
      <c r="X46" s="170"/>
      <c r="Y46" s="170"/>
      <c r="Z46" s="173"/>
      <c r="AA46" s="180" t="s">
        <v>672</v>
      </c>
      <c r="AB46" s="180" t="s">
        <v>672</v>
      </c>
    </row>
    <row r="47" spans="2:28" hidden="1" x14ac:dyDescent="0.25">
      <c r="B47" s="173">
        <v>44</v>
      </c>
      <c r="C47" s="169" t="s">
        <v>60</v>
      </c>
      <c r="D47" s="169">
        <v>400</v>
      </c>
      <c r="E47" s="169">
        <v>400</v>
      </c>
      <c r="F47" s="169">
        <v>1.6</v>
      </c>
      <c r="G47" s="169">
        <v>3</v>
      </c>
      <c r="H47" s="169" t="s">
        <v>56</v>
      </c>
      <c r="I47" s="173">
        <v>60</v>
      </c>
      <c r="J47" s="173">
        <v>1.49</v>
      </c>
      <c r="K47" s="173">
        <v>0.4</v>
      </c>
      <c r="L47" s="173">
        <f>L7+48</f>
        <v>48</v>
      </c>
      <c r="M47" s="173">
        <v>50</v>
      </c>
      <c r="N47" s="173">
        <v>5.61</v>
      </c>
      <c r="O47" s="173">
        <f t="shared" si="7"/>
        <v>103.61</v>
      </c>
      <c r="P47" s="172">
        <f t="shared" si="8"/>
        <v>32.825000000000003</v>
      </c>
      <c r="Q47" s="173">
        <f t="shared" si="9"/>
        <v>49.17</v>
      </c>
      <c r="R47" s="172">
        <f t="shared" si="10"/>
        <v>185.60500000000002</v>
      </c>
      <c r="S47" s="172">
        <f t="shared" si="11"/>
        <v>585.60500000000002</v>
      </c>
      <c r="T47" s="170"/>
      <c r="U47" s="173">
        <f t="shared" si="12"/>
        <v>296.435</v>
      </c>
      <c r="V47" s="173">
        <v>959</v>
      </c>
      <c r="W47" s="172">
        <f t="shared" si="13"/>
        <v>662.56500000000005</v>
      </c>
      <c r="X47" s="170"/>
      <c r="Y47" s="170"/>
      <c r="Z47" s="173"/>
      <c r="AA47" s="180" t="s">
        <v>672</v>
      </c>
      <c r="AB47" s="180" t="s">
        <v>672</v>
      </c>
    </row>
    <row r="48" spans="2:28" hidden="1" x14ac:dyDescent="0.25">
      <c r="B48" s="173">
        <v>45</v>
      </c>
      <c r="C48" s="169" t="s">
        <v>60</v>
      </c>
      <c r="D48" s="169">
        <v>400</v>
      </c>
      <c r="E48" s="169">
        <v>400</v>
      </c>
      <c r="F48" s="169">
        <v>1.6</v>
      </c>
      <c r="G48" s="169">
        <v>3</v>
      </c>
      <c r="H48" s="169" t="s">
        <v>54</v>
      </c>
      <c r="I48" s="173">
        <v>80</v>
      </c>
      <c r="J48" s="173">
        <v>2.2400000000000002</v>
      </c>
      <c r="K48" s="173">
        <v>0.4</v>
      </c>
      <c r="L48" s="173">
        <f>L8+48</f>
        <v>48</v>
      </c>
      <c r="M48" s="173">
        <v>50</v>
      </c>
      <c r="N48" s="173">
        <v>5.61</v>
      </c>
      <c r="O48" s="173">
        <f t="shared" si="7"/>
        <v>103.61</v>
      </c>
      <c r="P48" s="172">
        <f t="shared" si="8"/>
        <v>42.924999999999997</v>
      </c>
      <c r="Q48" s="173">
        <f t="shared" si="9"/>
        <v>96.320000000000007</v>
      </c>
      <c r="R48" s="172">
        <f t="shared" si="10"/>
        <v>242.85500000000002</v>
      </c>
      <c r="S48" s="172">
        <f t="shared" si="11"/>
        <v>642.85500000000002</v>
      </c>
      <c r="T48" s="170"/>
      <c r="U48" s="173">
        <f t="shared" si="12"/>
        <v>306.53499999999997</v>
      </c>
      <c r="V48" s="173">
        <v>959</v>
      </c>
      <c r="W48" s="172">
        <f t="shared" si="13"/>
        <v>652.46500000000003</v>
      </c>
      <c r="X48" s="170"/>
      <c r="Y48" s="170"/>
      <c r="Z48" s="173"/>
      <c r="AA48" s="180" t="s">
        <v>672</v>
      </c>
      <c r="AB48" s="180" t="s">
        <v>672</v>
      </c>
    </row>
    <row r="49" spans="2:28" hidden="1" x14ac:dyDescent="0.25">
      <c r="B49" s="173">
        <v>46</v>
      </c>
      <c r="C49" s="169" t="s">
        <v>60</v>
      </c>
      <c r="D49" s="169">
        <v>630</v>
      </c>
      <c r="E49" s="169">
        <v>630</v>
      </c>
      <c r="F49" s="169">
        <v>1</v>
      </c>
      <c r="G49" s="169">
        <v>3</v>
      </c>
      <c r="H49" s="169" t="s">
        <v>57</v>
      </c>
      <c r="I49" s="173">
        <v>37</v>
      </c>
      <c r="J49" s="173">
        <v>0</v>
      </c>
      <c r="K49" s="173">
        <v>0.4</v>
      </c>
      <c r="L49" s="169">
        <f t="shared" ref="L49:L58" si="14">L9+59</f>
        <v>672.2</v>
      </c>
      <c r="M49" s="173">
        <v>50</v>
      </c>
      <c r="N49" s="173">
        <v>7.8540000000000001</v>
      </c>
      <c r="O49" s="173">
        <f t="shared" si="7"/>
        <v>730.05400000000009</v>
      </c>
      <c r="P49" s="172">
        <f t="shared" si="8"/>
        <v>14.867999999999999</v>
      </c>
      <c r="Q49" s="173">
        <f t="shared" si="9"/>
        <v>0</v>
      </c>
      <c r="R49" s="172">
        <f t="shared" si="10"/>
        <v>744.92200000000014</v>
      </c>
      <c r="S49" s="172">
        <f t="shared" si="11"/>
        <v>1374.922</v>
      </c>
      <c r="T49" s="170" t="s">
        <v>667</v>
      </c>
      <c r="U49" s="173">
        <f t="shared" si="12"/>
        <v>996.92200000000014</v>
      </c>
      <c r="V49" s="173">
        <v>1025</v>
      </c>
      <c r="W49" s="172">
        <f t="shared" si="13"/>
        <v>28.077999999999861</v>
      </c>
      <c r="X49" s="170">
        <v>34</v>
      </c>
      <c r="Y49" s="170">
        <v>11</v>
      </c>
      <c r="Z49" s="171"/>
      <c r="AA49" s="169" t="s">
        <v>673</v>
      </c>
      <c r="AB49" s="169" t="s">
        <v>673</v>
      </c>
    </row>
    <row r="50" spans="2:28" hidden="1" x14ac:dyDescent="0.25">
      <c r="B50" s="173">
        <v>47</v>
      </c>
      <c r="C50" s="169" t="s">
        <v>60</v>
      </c>
      <c r="D50" s="169">
        <v>630</v>
      </c>
      <c r="E50" s="169">
        <v>630</v>
      </c>
      <c r="F50" s="169">
        <v>1</v>
      </c>
      <c r="G50" s="169">
        <v>3</v>
      </c>
      <c r="H50" s="169" t="s">
        <v>56</v>
      </c>
      <c r="I50" s="173">
        <v>60</v>
      </c>
      <c r="J50" s="173">
        <v>1.49</v>
      </c>
      <c r="K50" s="173">
        <v>0.4</v>
      </c>
      <c r="L50" s="169">
        <f t="shared" si="14"/>
        <v>672.2</v>
      </c>
      <c r="M50" s="173">
        <v>50</v>
      </c>
      <c r="N50" s="173">
        <v>7.8540000000000001</v>
      </c>
      <c r="O50" s="173">
        <f t="shared" si="7"/>
        <v>730.05400000000009</v>
      </c>
      <c r="P50" s="172">
        <f t="shared" si="8"/>
        <v>23.009999999999998</v>
      </c>
      <c r="Q50" s="173">
        <f t="shared" si="9"/>
        <v>49.17</v>
      </c>
      <c r="R50" s="172">
        <f t="shared" si="10"/>
        <v>802.23400000000004</v>
      </c>
      <c r="S50" s="172">
        <f t="shared" si="11"/>
        <v>1432.2339999999999</v>
      </c>
      <c r="T50" s="170" t="s">
        <v>53</v>
      </c>
      <c r="U50" s="173">
        <f t="shared" si="12"/>
        <v>1005.0640000000001</v>
      </c>
      <c r="V50" s="173">
        <v>1025</v>
      </c>
      <c r="W50" s="172">
        <f t="shared" si="13"/>
        <v>19.935999999999922</v>
      </c>
      <c r="X50" s="170">
        <v>34</v>
      </c>
      <c r="Y50" s="170">
        <v>11</v>
      </c>
      <c r="Z50" s="171"/>
      <c r="AA50" s="169" t="s">
        <v>673</v>
      </c>
      <c r="AB50" s="169" t="s">
        <v>673</v>
      </c>
    </row>
    <row r="51" spans="2:28" hidden="1" x14ac:dyDescent="0.25">
      <c r="B51" s="173">
        <v>48</v>
      </c>
      <c r="C51" s="169" t="s">
        <v>60</v>
      </c>
      <c r="D51" s="169">
        <v>630</v>
      </c>
      <c r="E51" s="169">
        <v>630</v>
      </c>
      <c r="F51" s="169">
        <v>1.6</v>
      </c>
      <c r="G51" s="169">
        <v>3</v>
      </c>
      <c r="H51" s="169" t="s">
        <v>57</v>
      </c>
      <c r="I51" s="173">
        <v>37</v>
      </c>
      <c r="J51" s="173">
        <v>0</v>
      </c>
      <c r="K51" s="173">
        <v>0.4</v>
      </c>
      <c r="L51" s="169">
        <f t="shared" si="14"/>
        <v>672.2</v>
      </c>
      <c r="M51" s="173">
        <v>50</v>
      </c>
      <c r="N51" s="173">
        <v>7.8540000000000001</v>
      </c>
      <c r="O51" s="173">
        <f t="shared" si="7"/>
        <v>730.05400000000009</v>
      </c>
      <c r="P51" s="172">
        <f t="shared" si="8"/>
        <v>21.21</v>
      </c>
      <c r="Q51" s="173">
        <f t="shared" si="9"/>
        <v>0</v>
      </c>
      <c r="R51" s="172">
        <f t="shared" si="10"/>
        <v>751.26400000000012</v>
      </c>
      <c r="S51" s="172">
        <f t="shared" si="11"/>
        <v>1381.2640000000001</v>
      </c>
      <c r="T51" s="170" t="s">
        <v>53</v>
      </c>
      <c r="U51" s="173">
        <f t="shared" si="12"/>
        <v>1003.2640000000001</v>
      </c>
      <c r="V51" s="173">
        <v>1025</v>
      </c>
      <c r="W51" s="172">
        <f t="shared" si="13"/>
        <v>21.735999999999876</v>
      </c>
      <c r="X51" s="170">
        <v>34</v>
      </c>
      <c r="Y51" s="170">
        <v>11</v>
      </c>
      <c r="Z51" s="171"/>
      <c r="AA51" s="169" t="s">
        <v>673</v>
      </c>
      <c r="AB51" s="169" t="s">
        <v>673</v>
      </c>
    </row>
    <row r="52" spans="2:28" hidden="1" x14ac:dyDescent="0.25">
      <c r="B52" s="173">
        <v>49</v>
      </c>
      <c r="C52" s="169" t="s">
        <v>60</v>
      </c>
      <c r="D52" s="169">
        <v>630</v>
      </c>
      <c r="E52" s="169">
        <v>630</v>
      </c>
      <c r="F52" s="169">
        <v>1.6</v>
      </c>
      <c r="G52" s="169">
        <v>3</v>
      </c>
      <c r="H52" s="169" t="s">
        <v>56</v>
      </c>
      <c r="I52" s="173">
        <v>60</v>
      </c>
      <c r="J52" s="173">
        <v>1.49</v>
      </c>
      <c r="K52" s="173">
        <v>0.4</v>
      </c>
      <c r="L52" s="169">
        <f t="shared" si="14"/>
        <v>672.2</v>
      </c>
      <c r="M52" s="173">
        <v>50</v>
      </c>
      <c r="N52" s="173">
        <v>7.8540000000000001</v>
      </c>
      <c r="O52" s="173">
        <f t="shared" si="7"/>
        <v>730.05400000000009</v>
      </c>
      <c r="P52" s="172">
        <f t="shared" si="8"/>
        <v>32.825000000000003</v>
      </c>
      <c r="Q52" s="173">
        <f t="shared" si="9"/>
        <v>49.17</v>
      </c>
      <c r="R52" s="172">
        <f t="shared" si="10"/>
        <v>812.04900000000009</v>
      </c>
      <c r="S52" s="172">
        <f t="shared" si="11"/>
        <v>1442.049</v>
      </c>
      <c r="T52" s="170" t="s">
        <v>53</v>
      </c>
      <c r="U52" s="173">
        <f t="shared" si="12"/>
        <v>1014.8790000000001</v>
      </c>
      <c r="V52" s="173">
        <v>1025</v>
      </c>
      <c r="W52" s="172">
        <f t="shared" si="13"/>
        <v>10.120999999999867</v>
      </c>
      <c r="X52" s="170">
        <v>34</v>
      </c>
      <c r="Y52" s="170">
        <v>11</v>
      </c>
      <c r="Z52" s="171"/>
      <c r="AA52" s="169" t="s">
        <v>673</v>
      </c>
      <c r="AB52" s="169" t="s">
        <v>673</v>
      </c>
    </row>
    <row r="53" spans="2:28" hidden="1" x14ac:dyDescent="0.25">
      <c r="B53" s="173">
        <v>50</v>
      </c>
      <c r="C53" s="169" t="s">
        <v>60</v>
      </c>
      <c r="D53" s="169">
        <v>630</v>
      </c>
      <c r="E53" s="169">
        <v>630</v>
      </c>
      <c r="F53" s="169">
        <v>1.6</v>
      </c>
      <c r="G53" s="169">
        <v>3</v>
      </c>
      <c r="H53" s="169" t="s">
        <v>54</v>
      </c>
      <c r="I53" s="173">
        <v>80</v>
      </c>
      <c r="J53" s="173">
        <v>2.2400000000000002</v>
      </c>
      <c r="K53" s="173">
        <v>0.4</v>
      </c>
      <c r="L53" s="169">
        <f t="shared" si="14"/>
        <v>672.2</v>
      </c>
      <c r="M53" s="173">
        <v>50</v>
      </c>
      <c r="N53" s="173">
        <v>7.8540000000000001</v>
      </c>
      <c r="O53" s="173">
        <f t="shared" si="7"/>
        <v>730.05400000000009</v>
      </c>
      <c r="P53" s="172">
        <f t="shared" si="8"/>
        <v>42.924999999999997</v>
      </c>
      <c r="Q53" s="173">
        <f t="shared" si="9"/>
        <v>96.320000000000007</v>
      </c>
      <c r="R53" s="172">
        <f t="shared" si="10"/>
        <v>869.29900000000009</v>
      </c>
      <c r="S53" s="172">
        <f t="shared" si="11"/>
        <v>1499.299</v>
      </c>
      <c r="T53" s="170" t="s">
        <v>53</v>
      </c>
      <c r="U53" s="173">
        <f t="shared" si="12"/>
        <v>1024.979</v>
      </c>
      <c r="V53" s="173">
        <v>1025</v>
      </c>
      <c r="W53" s="172">
        <f t="shared" si="13"/>
        <v>2.0999999999958163E-2</v>
      </c>
      <c r="X53" s="170">
        <v>34</v>
      </c>
      <c r="Y53" s="170">
        <v>11</v>
      </c>
      <c r="Z53" s="171"/>
      <c r="AA53" s="169" t="s">
        <v>673</v>
      </c>
      <c r="AB53" s="169" t="s">
        <v>673</v>
      </c>
    </row>
    <row r="54" spans="2:28" hidden="1" x14ac:dyDescent="0.25">
      <c r="B54" s="173">
        <v>51</v>
      </c>
      <c r="C54" s="169" t="s">
        <v>60</v>
      </c>
      <c r="D54" s="169">
        <v>1000</v>
      </c>
      <c r="E54" s="169" t="s">
        <v>63</v>
      </c>
      <c r="F54" s="169">
        <v>1</v>
      </c>
      <c r="G54" s="169">
        <v>3</v>
      </c>
      <c r="H54" s="169" t="s">
        <v>62</v>
      </c>
      <c r="I54" s="173">
        <v>30</v>
      </c>
      <c r="J54" s="173">
        <v>0</v>
      </c>
      <c r="K54" s="173">
        <v>0.4</v>
      </c>
      <c r="L54" s="169">
        <f t="shared" si="14"/>
        <v>795.19999999999993</v>
      </c>
      <c r="M54" s="173">
        <v>50</v>
      </c>
      <c r="N54" s="173">
        <v>11</v>
      </c>
      <c r="O54" s="173">
        <f t="shared" si="7"/>
        <v>856.19999999999993</v>
      </c>
      <c r="P54" s="172">
        <f t="shared" si="8"/>
        <v>12.389999999999999</v>
      </c>
      <c r="Q54" s="173">
        <f t="shared" si="9"/>
        <v>0</v>
      </c>
      <c r="R54" s="172">
        <f t="shared" si="10"/>
        <v>868.58999999999992</v>
      </c>
      <c r="S54" s="172">
        <f t="shared" si="11"/>
        <v>1868.59</v>
      </c>
      <c r="T54" s="181" t="s">
        <v>665</v>
      </c>
      <c r="U54" s="173">
        <f t="shared" si="12"/>
        <v>1268.5899999999999</v>
      </c>
      <c r="V54" s="173">
        <v>1300</v>
      </c>
      <c r="W54" s="172">
        <f t="shared" si="13"/>
        <v>31.410000000000082</v>
      </c>
      <c r="X54" s="171"/>
      <c r="Y54" s="170">
        <v>43</v>
      </c>
      <c r="Z54" s="170">
        <v>8</v>
      </c>
      <c r="AA54" s="176" t="s">
        <v>674</v>
      </c>
      <c r="AB54" s="176" t="s">
        <v>674</v>
      </c>
    </row>
    <row r="55" spans="2:28" hidden="1" x14ac:dyDescent="0.25">
      <c r="B55" s="173">
        <v>52</v>
      </c>
      <c r="C55" s="169" t="s">
        <v>60</v>
      </c>
      <c r="D55" s="169">
        <v>1000</v>
      </c>
      <c r="E55" s="169" t="s">
        <v>63</v>
      </c>
      <c r="F55" s="169">
        <v>1</v>
      </c>
      <c r="G55" s="169">
        <v>3</v>
      </c>
      <c r="H55" s="169" t="s">
        <v>61</v>
      </c>
      <c r="I55" s="173">
        <v>60</v>
      </c>
      <c r="J55" s="173">
        <v>2.98</v>
      </c>
      <c r="K55" s="173">
        <v>0.4</v>
      </c>
      <c r="L55" s="169">
        <f t="shared" si="14"/>
        <v>795.19999999999993</v>
      </c>
      <c r="M55" s="173">
        <v>50</v>
      </c>
      <c r="N55" s="173">
        <v>11</v>
      </c>
      <c r="O55" s="173">
        <f t="shared" si="7"/>
        <v>856.19999999999993</v>
      </c>
      <c r="P55" s="172">
        <f t="shared" si="8"/>
        <v>23.009999999999998</v>
      </c>
      <c r="Q55" s="173">
        <f t="shared" si="9"/>
        <v>98.34</v>
      </c>
      <c r="R55" s="172">
        <f t="shared" si="10"/>
        <v>977.55</v>
      </c>
      <c r="S55" s="172">
        <f t="shared" si="11"/>
        <v>1977.55</v>
      </c>
      <c r="T55" s="181" t="s">
        <v>58</v>
      </c>
      <c r="U55" s="173">
        <f t="shared" si="12"/>
        <v>1279.21</v>
      </c>
      <c r="V55" s="173">
        <v>1300</v>
      </c>
      <c r="W55" s="172">
        <f t="shared" si="13"/>
        <v>20.789999999999964</v>
      </c>
      <c r="X55" s="171"/>
      <c r="Y55" s="170">
        <v>43</v>
      </c>
      <c r="Z55" s="170">
        <v>8</v>
      </c>
      <c r="AA55" s="176" t="s">
        <v>674</v>
      </c>
      <c r="AB55" s="176" t="s">
        <v>674</v>
      </c>
    </row>
    <row r="56" spans="2:28" hidden="1" x14ac:dyDescent="0.25">
      <c r="B56" s="173">
        <v>53</v>
      </c>
      <c r="C56" s="169" t="s">
        <v>60</v>
      </c>
      <c r="D56" s="169">
        <v>1000</v>
      </c>
      <c r="E56" s="169" t="s">
        <v>63</v>
      </c>
      <c r="F56" s="169">
        <v>1.6</v>
      </c>
      <c r="G56" s="169">
        <v>3</v>
      </c>
      <c r="H56" s="169" t="s">
        <v>62</v>
      </c>
      <c r="I56" s="173">
        <v>30</v>
      </c>
      <c r="J56" s="173">
        <v>0</v>
      </c>
      <c r="K56" s="173">
        <v>0.4</v>
      </c>
      <c r="L56" s="169">
        <f t="shared" si="14"/>
        <v>795.19999999999993</v>
      </c>
      <c r="M56" s="173">
        <v>50</v>
      </c>
      <c r="N56" s="173">
        <v>11</v>
      </c>
      <c r="O56" s="173">
        <f t="shared" si="7"/>
        <v>856.19999999999993</v>
      </c>
      <c r="P56" s="172">
        <f t="shared" si="8"/>
        <v>17.675000000000001</v>
      </c>
      <c r="Q56" s="173">
        <f t="shared" si="9"/>
        <v>0</v>
      </c>
      <c r="R56" s="172">
        <f t="shared" si="10"/>
        <v>873.87499999999989</v>
      </c>
      <c r="S56" s="172">
        <f t="shared" si="11"/>
        <v>1873.875</v>
      </c>
      <c r="T56" s="181" t="s">
        <v>58</v>
      </c>
      <c r="U56" s="173">
        <f t="shared" si="12"/>
        <v>1273.875</v>
      </c>
      <c r="V56" s="173">
        <v>1300</v>
      </c>
      <c r="W56" s="172">
        <f t="shared" si="13"/>
        <v>26.125</v>
      </c>
      <c r="X56" s="171"/>
      <c r="Y56" s="170">
        <v>43</v>
      </c>
      <c r="Z56" s="170">
        <v>8</v>
      </c>
      <c r="AA56" s="176" t="s">
        <v>674</v>
      </c>
      <c r="AB56" s="176" t="s">
        <v>674</v>
      </c>
    </row>
    <row r="57" spans="2:28" hidden="1" x14ac:dyDescent="0.25">
      <c r="B57" s="173">
        <v>54</v>
      </c>
      <c r="C57" s="169" t="s">
        <v>60</v>
      </c>
      <c r="D57" s="169">
        <v>1000</v>
      </c>
      <c r="E57" s="169" t="s">
        <v>63</v>
      </c>
      <c r="F57" s="169">
        <v>1.6</v>
      </c>
      <c r="G57" s="169">
        <v>3</v>
      </c>
      <c r="H57" s="169" t="s">
        <v>61</v>
      </c>
      <c r="I57" s="173">
        <v>60</v>
      </c>
      <c r="J57" s="173">
        <v>2.98</v>
      </c>
      <c r="K57" s="173">
        <v>0.4</v>
      </c>
      <c r="L57" s="169">
        <f t="shared" si="14"/>
        <v>795.19999999999993</v>
      </c>
      <c r="M57" s="173">
        <v>50</v>
      </c>
      <c r="N57" s="173">
        <v>11</v>
      </c>
      <c r="O57" s="173">
        <f t="shared" si="7"/>
        <v>856.19999999999993</v>
      </c>
      <c r="P57" s="172">
        <f t="shared" si="8"/>
        <v>32.825000000000003</v>
      </c>
      <c r="Q57" s="173">
        <f t="shared" si="9"/>
        <v>98.34</v>
      </c>
      <c r="R57" s="172">
        <f t="shared" si="10"/>
        <v>987.36500000000001</v>
      </c>
      <c r="S57" s="172">
        <f t="shared" si="11"/>
        <v>1987.365</v>
      </c>
      <c r="T57" s="181" t="s">
        <v>58</v>
      </c>
      <c r="U57" s="173">
        <f t="shared" si="12"/>
        <v>1289.0250000000001</v>
      </c>
      <c r="V57" s="173">
        <v>1300</v>
      </c>
      <c r="W57" s="172">
        <f t="shared" si="13"/>
        <v>10.974999999999909</v>
      </c>
      <c r="X57" s="171"/>
      <c r="Y57" s="170">
        <v>43</v>
      </c>
      <c r="Z57" s="170">
        <v>8</v>
      </c>
      <c r="AA57" s="176" t="s">
        <v>674</v>
      </c>
      <c r="AB57" s="176" t="s">
        <v>674</v>
      </c>
    </row>
    <row r="58" spans="2:28" hidden="1" x14ac:dyDescent="0.25">
      <c r="B58" s="173">
        <v>55</v>
      </c>
      <c r="C58" s="169" t="s">
        <v>60</v>
      </c>
      <c r="D58" s="169">
        <v>1000</v>
      </c>
      <c r="E58" s="169" t="s">
        <v>63</v>
      </c>
      <c r="F58" s="169">
        <v>1.6</v>
      </c>
      <c r="G58" s="169">
        <v>3</v>
      </c>
      <c r="H58" s="169" t="s">
        <v>54</v>
      </c>
      <c r="I58" s="173">
        <v>80</v>
      </c>
      <c r="J58" s="173">
        <v>2.98</v>
      </c>
      <c r="K58" s="173">
        <v>0.4</v>
      </c>
      <c r="L58" s="169">
        <f t="shared" si="14"/>
        <v>795.19999999999993</v>
      </c>
      <c r="M58" s="173">
        <v>50</v>
      </c>
      <c r="N58" s="173">
        <v>11</v>
      </c>
      <c r="O58" s="173">
        <f t="shared" si="7"/>
        <v>856.19999999999993</v>
      </c>
      <c r="P58" s="172">
        <f t="shared" si="8"/>
        <v>42.924999999999997</v>
      </c>
      <c r="Q58" s="173">
        <f t="shared" si="9"/>
        <v>128.13999999999999</v>
      </c>
      <c r="R58" s="172">
        <f t="shared" si="10"/>
        <v>1027.2649999999999</v>
      </c>
      <c r="S58" s="172">
        <f t="shared" si="11"/>
        <v>2027.2649999999999</v>
      </c>
      <c r="T58" s="181" t="s">
        <v>58</v>
      </c>
      <c r="U58" s="173">
        <f t="shared" si="12"/>
        <v>1299.125</v>
      </c>
      <c r="V58" s="173">
        <v>1300</v>
      </c>
      <c r="W58" s="172">
        <f t="shared" si="13"/>
        <v>0.875</v>
      </c>
      <c r="X58" s="171"/>
      <c r="Y58" s="170">
        <v>43</v>
      </c>
      <c r="Z58" s="170">
        <v>8</v>
      </c>
      <c r="AA58" s="176" t="s">
        <v>674</v>
      </c>
      <c r="AB58" s="169" t="s">
        <v>673</v>
      </c>
    </row>
    <row r="59" spans="2:28" hidden="1" x14ac:dyDescent="0.25">
      <c r="B59" s="173">
        <v>56</v>
      </c>
      <c r="C59" s="169" t="s">
        <v>60</v>
      </c>
      <c r="D59" s="169">
        <v>1000</v>
      </c>
      <c r="E59" s="169" t="s">
        <v>59</v>
      </c>
      <c r="F59" s="169">
        <v>1</v>
      </c>
      <c r="G59" s="169">
        <v>3</v>
      </c>
      <c r="H59" s="169" t="s">
        <v>62</v>
      </c>
      <c r="I59" s="173">
        <v>30</v>
      </c>
      <c r="J59" s="173">
        <v>0</v>
      </c>
      <c r="K59" s="173">
        <v>0.4</v>
      </c>
      <c r="L59" s="169">
        <f>L19+74</f>
        <v>912.7</v>
      </c>
      <c r="M59" s="173">
        <v>50</v>
      </c>
      <c r="N59" s="173">
        <v>11</v>
      </c>
      <c r="O59" s="173">
        <f t="shared" si="7"/>
        <v>973.7</v>
      </c>
      <c r="P59" s="172">
        <f t="shared" si="8"/>
        <v>12.389999999999999</v>
      </c>
      <c r="Q59" s="173">
        <f t="shared" si="9"/>
        <v>0</v>
      </c>
      <c r="R59" s="172">
        <f t="shared" si="10"/>
        <v>986.09</v>
      </c>
      <c r="S59" s="172">
        <f t="shared" si="11"/>
        <v>1986.0900000000001</v>
      </c>
      <c r="T59" s="170" t="s">
        <v>58</v>
      </c>
      <c r="U59" s="173">
        <f t="shared" si="12"/>
        <v>1386.0900000000001</v>
      </c>
      <c r="V59" s="173">
        <v>1417</v>
      </c>
      <c r="W59" s="172">
        <f t="shared" si="13"/>
        <v>30.909999999999854</v>
      </c>
      <c r="X59" s="171"/>
      <c r="Y59" s="170">
        <v>40</v>
      </c>
      <c r="Z59" s="170">
        <v>25</v>
      </c>
      <c r="AA59" s="169" t="s">
        <v>673</v>
      </c>
      <c r="AB59" s="169" t="s">
        <v>673</v>
      </c>
    </row>
    <row r="60" spans="2:28" hidden="1" x14ac:dyDescent="0.25">
      <c r="B60" s="173">
        <v>57</v>
      </c>
      <c r="C60" s="169" t="s">
        <v>60</v>
      </c>
      <c r="D60" s="169">
        <v>1000</v>
      </c>
      <c r="E60" s="169" t="s">
        <v>59</v>
      </c>
      <c r="F60" s="169">
        <v>1</v>
      </c>
      <c r="G60" s="169">
        <v>3</v>
      </c>
      <c r="H60" s="169" t="s">
        <v>61</v>
      </c>
      <c r="I60" s="173">
        <v>60</v>
      </c>
      <c r="J60" s="173">
        <v>2.98</v>
      </c>
      <c r="K60" s="173">
        <v>0.4</v>
      </c>
      <c r="L60" s="169">
        <f>L20+74</f>
        <v>912.7</v>
      </c>
      <c r="M60" s="173">
        <v>50</v>
      </c>
      <c r="N60" s="173">
        <v>11</v>
      </c>
      <c r="O60" s="173">
        <f t="shared" si="7"/>
        <v>973.7</v>
      </c>
      <c r="P60" s="172">
        <f t="shared" si="8"/>
        <v>23.009999999999998</v>
      </c>
      <c r="Q60" s="173">
        <f t="shared" si="9"/>
        <v>98.34</v>
      </c>
      <c r="R60" s="172">
        <f t="shared" si="10"/>
        <v>1095.05</v>
      </c>
      <c r="S60" s="172">
        <f t="shared" si="11"/>
        <v>2095.0500000000002</v>
      </c>
      <c r="T60" s="181" t="s">
        <v>58</v>
      </c>
      <c r="U60" s="173">
        <f t="shared" si="12"/>
        <v>1396.71</v>
      </c>
      <c r="V60" s="173">
        <v>1417</v>
      </c>
      <c r="W60" s="172">
        <f t="shared" si="13"/>
        <v>20.289999999999964</v>
      </c>
      <c r="X60" s="171"/>
      <c r="Y60" s="170">
        <v>40</v>
      </c>
      <c r="Z60" s="170">
        <v>25</v>
      </c>
      <c r="AA60" s="169" t="s">
        <v>673</v>
      </c>
      <c r="AB60" s="169" t="s">
        <v>673</v>
      </c>
    </row>
    <row r="61" spans="2:28" hidden="1" x14ac:dyDescent="0.25">
      <c r="B61" s="173">
        <v>58</v>
      </c>
      <c r="C61" s="169" t="s">
        <v>60</v>
      </c>
      <c r="D61" s="169">
        <v>1000</v>
      </c>
      <c r="E61" s="169" t="s">
        <v>59</v>
      </c>
      <c r="F61" s="169">
        <v>1.6</v>
      </c>
      <c r="G61" s="169">
        <v>3</v>
      </c>
      <c r="H61" s="169" t="s">
        <v>62</v>
      </c>
      <c r="I61" s="173">
        <v>30</v>
      </c>
      <c r="J61" s="173">
        <v>0</v>
      </c>
      <c r="K61" s="173">
        <v>0.4</v>
      </c>
      <c r="L61" s="169">
        <f>L21+74</f>
        <v>912.7</v>
      </c>
      <c r="M61" s="173">
        <v>50</v>
      </c>
      <c r="N61" s="173">
        <v>11</v>
      </c>
      <c r="O61" s="173">
        <f t="shared" si="7"/>
        <v>973.7</v>
      </c>
      <c r="P61" s="172">
        <f t="shared" si="8"/>
        <v>17.675000000000001</v>
      </c>
      <c r="Q61" s="173">
        <f t="shared" si="9"/>
        <v>0</v>
      </c>
      <c r="R61" s="172">
        <f t="shared" si="10"/>
        <v>991.375</v>
      </c>
      <c r="S61" s="172">
        <f t="shared" si="11"/>
        <v>1991.375</v>
      </c>
      <c r="T61" s="170" t="s">
        <v>58</v>
      </c>
      <c r="U61" s="173">
        <f t="shared" si="12"/>
        <v>1391.375</v>
      </c>
      <c r="V61" s="173">
        <v>1417</v>
      </c>
      <c r="W61" s="172">
        <f t="shared" si="13"/>
        <v>25.625</v>
      </c>
      <c r="X61" s="171"/>
      <c r="Y61" s="170">
        <v>40</v>
      </c>
      <c r="Z61" s="170">
        <v>25</v>
      </c>
      <c r="AA61" s="169" t="s">
        <v>673</v>
      </c>
      <c r="AB61" s="169" t="s">
        <v>673</v>
      </c>
    </row>
    <row r="62" spans="2:28" hidden="1" x14ac:dyDescent="0.25">
      <c r="B62" s="173">
        <v>59</v>
      </c>
      <c r="C62" s="169" t="s">
        <v>60</v>
      </c>
      <c r="D62" s="169">
        <v>1000</v>
      </c>
      <c r="E62" s="169" t="s">
        <v>59</v>
      </c>
      <c r="F62" s="169">
        <v>1.6</v>
      </c>
      <c r="G62" s="169">
        <v>3</v>
      </c>
      <c r="H62" s="169" t="s">
        <v>61</v>
      </c>
      <c r="I62" s="173">
        <v>60</v>
      </c>
      <c r="J62" s="173">
        <v>2.98</v>
      </c>
      <c r="K62" s="173">
        <v>0.4</v>
      </c>
      <c r="L62" s="169">
        <f>L22+74</f>
        <v>912.7</v>
      </c>
      <c r="M62" s="173">
        <v>50</v>
      </c>
      <c r="N62" s="173">
        <v>11</v>
      </c>
      <c r="O62" s="173">
        <f t="shared" si="7"/>
        <v>973.7</v>
      </c>
      <c r="P62" s="172">
        <f t="shared" si="8"/>
        <v>32.825000000000003</v>
      </c>
      <c r="Q62" s="173">
        <f t="shared" si="9"/>
        <v>98.34</v>
      </c>
      <c r="R62" s="172">
        <f t="shared" si="10"/>
        <v>1104.865</v>
      </c>
      <c r="S62" s="172">
        <f t="shared" si="11"/>
        <v>2104.8649999999998</v>
      </c>
      <c r="T62" s="181" t="s">
        <v>58</v>
      </c>
      <c r="U62" s="173">
        <f t="shared" si="12"/>
        <v>1406.5250000000001</v>
      </c>
      <c r="V62" s="173">
        <v>1417</v>
      </c>
      <c r="W62" s="172">
        <f t="shared" si="13"/>
        <v>10.474999999999909</v>
      </c>
      <c r="X62" s="171"/>
      <c r="Y62" s="170">
        <v>40</v>
      </c>
      <c r="Z62" s="170">
        <v>25</v>
      </c>
      <c r="AA62" s="169" t="s">
        <v>673</v>
      </c>
      <c r="AB62" s="169" t="s">
        <v>673</v>
      </c>
    </row>
    <row r="63" spans="2:28" hidden="1" x14ac:dyDescent="0.25">
      <c r="B63" s="173">
        <v>60</v>
      </c>
      <c r="C63" s="169" t="s">
        <v>60</v>
      </c>
      <c r="D63" s="169">
        <v>1000</v>
      </c>
      <c r="E63" s="169" t="s">
        <v>59</v>
      </c>
      <c r="F63" s="169">
        <v>1.6</v>
      </c>
      <c r="G63" s="169">
        <v>3</v>
      </c>
      <c r="H63" s="169" t="s">
        <v>54</v>
      </c>
      <c r="I63" s="173">
        <v>80</v>
      </c>
      <c r="J63" s="173">
        <v>2.98</v>
      </c>
      <c r="K63" s="173">
        <v>0.4</v>
      </c>
      <c r="L63" s="169">
        <f>L23+74</f>
        <v>912.7</v>
      </c>
      <c r="M63" s="173">
        <v>50</v>
      </c>
      <c r="N63" s="173">
        <v>11</v>
      </c>
      <c r="O63" s="173">
        <f t="shared" si="7"/>
        <v>973.7</v>
      </c>
      <c r="P63" s="172">
        <f t="shared" si="8"/>
        <v>42.924999999999997</v>
      </c>
      <c r="Q63" s="173">
        <f t="shared" si="9"/>
        <v>128.13999999999999</v>
      </c>
      <c r="R63" s="172">
        <f t="shared" si="10"/>
        <v>1144.7649999999999</v>
      </c>
      <c r="S63" s="172">
        <f t="shared" si="11"/>
        <v>2144.7649999999999</v>
      </c>
      <c r="T63" s="170" t="s">
        <v>58</v>
      </c>
      <c r="U63" s="173">
        <f t="shared" si="12"/>
        <v>1416.625</v>
      </c>
      <c r="V63" s="173">
        <v>1417</v>
      </c>
      <c r="W63" s="172">
        <f t="shared" si="13"/>
        <v>0.375</v>
      </c>
      <c r="X63" s="171"/>
      <c r="Y63" s="170">
        <v>40</v>
      </c>
      <c r="Z63" s="170">
        <v>25</v>
      </c>
      <c r="AA63" s="169" t="s">
        <v>673</v>
      </c>
      <c r="AB63" s="169" t="s">
        <v>673</v>
      </c>
    </row>
    <row r="64" spans="2:28" hidden="1" x14ac:dyDescent="0.25">
      <c r="B64" s="173">
        <v>61</v>
      </c>
      <c r="C64" s="169" t="s">
        <v>60</v>
      </c>
      <c r="D64" s="169">
        <v>400</v>
      </c>
      <c r="E64" s="169">
        <v>400</v>
      </c>
      <c r="F64" s="169">
        <v>1</v>
      </c>
      <c r="G64" s="169">
        <v>25</v>
      </c>
      <c r="H64" s="169" t="s">
        <v>57</v>
      </c>
      <c r="I64" s="173">
        <v>37</v>
      </c>
      <c r="J64" s="173">
        <v>0</v>
      </c>
      <c r="K64" s="173">
        <v>0.4</v>
      </c>
      <c r="L64" s="173">
        <f>L24+48</f>
        <v>48</v>
      </c>
      <c r="M64" s="173">
        <v>50</v>
      </c>
      <c r="N64" s="174">
        <v>40</v>
      </c>
      <c r="O64" s="173">
        <f t="shared" si="7"/>
        <v>138</v>
      </c>
      <c r="P64" s="172">
        <f t="shared" si="8"/>
        <v>14.867999999999999</v>
      </c>
      <c r="Q64" s="173">
        <f t="shared" si="9"/>
        <v>0</v>
      </c>
      <c r="R64" s="172">
        <f t="shared" si="10"/>
        <v>152.86799999999999</v>
      </c>
      <c r="S64" s="172">
        <f t="shared" si="11"/>
        <v>552.86799999999994</v>
      </c>
      <c r="T64" s="171"/>
      <c r="U64" s="173">
        <f t="shared" si="12"/>
        <v>312.86799999999999</v>
      </c>
      <c r="V64" s="173">
        <v>959</v>
      </c>
      <c r="W64" s="172">
        <f t="shared" si="13"/>
        <v>646.13200000000006</v>
      </c>
      <c r="X64" s="171"/>
      <c r="Y64" s="171"/>
      <c r="Z64" s="171"/>
      <c r="AA64" s="180" t="s">
        <v>672</v>
      </c>
      <c r="AB64" s="180" t="s">
        <v>672</v>
      </c>
    </row>
    <row r="65" spans="2:29" hidden="1" x14ac:dyDescent="0.25">
      <c r="B65" s="173">
        <v>62</v>
      </c>
      <c r="C65" s="169" t="s">
        <v>60</v>
      </c>
      <c r="D65" s="169">
        <v>400</v>
      </c>
      <c r="E65" s="169">
        <v>400</v>
      </c>
      <c r="F65" s="169">
        <v>1</v>
      </c>
      <c r="G65" s="169">
        <v>25</v>
      </c>
      <c r="H65" s="169" t="s">
        <v>56</v>
      </c>
      <c r="I65" s="173">
        <v>60</v>
      </c>
      <c r="J65" s="173">
        <v>1.49</v>
      </c>
      <c r="K65" s="173">
        <v>0.4</v>
      </c>
      <c r="L65" s="173">
        <f>L25+48</f>
        <v>48</v>
      </c>
      <c r="M65" s="173">
        <v>50</v>
      </c>
      <c r="N65" s="174">
        <v>40</v>
      </c>
      <c r="O65" s="173">
        <f t="shared" si="7"/>
        <v>138</v>
      </c>
      <c r="P65" s="172">
        <f t="shared" si="8"/>
        <v>23.009999999999998</v>
      </c>
      <c r="Q65" s="173">
        <f t="shared" si="9"/>
        <v>49.17</v>
      </c>
      <c r="R65" s="172">
        <f t="shared" si="10"/>
        <v>210.18</v>
      </c>
      <c r="S65" s="172">
        <f t="shared" si="11"/>
        <v>610.18000000000006</v>
      </c>
      <c r="T65" s="171"/>
      <c r="U65" s="173">
        <f t="shared" si="12"/>
        <v>321.01</v>
      </c>
      <c r="V65" s="173">
        <v>959</v>
      </c>
      <c r="W65" s="172">
        <f t="shared" si="13"/>
        <v>637.99</v>
      </c>
      <c r="X65" s="171"/>
      <c r="Y65" s="171"/>
      <c r="Z65" s="171"/>
      <c r="AA65" s="180" t="s">
        <v>672</v>
      </c>
      <c r="AB65" s="180" t="s">
        <v>672</v>
      </c>
    </row>
    <row r="66" spans="2:29" hidden="1" x14ac:dyDescent="0.25">
      <c r="B66" s="173">
        <v>63</v>
      </c>
      <c r="C66" s="169" t="s">
        <v>60</v>
      </c>
      <c r="D66" s="169">
        <v>400</v>
      </c>
      <c r="E66" s="169">
        <v>400</v>
      </c>
      <c r="F66" s="169">
        <v>1.6</v>
      </c>
      <c r="G66" s="169">
        <v>25</v>
      </c>
      <c r="H66" s="169" t="s">
        <v>57</v>
      </c>
      <c r="I66" s="173">
        <v>37</v>
      </c>
      <c r="J66" s="173">
        <v>0</v>
      </c>
      <c r="K66" s="173">
        <v>0.4</v>
      </c>
      <c r="L66" s="173">
        <f>L26+48</f>
        <v>48</v>
      </c>
      <c r="M66" s="173">
        <v>50</v>
      </c>
      <c r="N66" s="174">
        <v>40</v>
      </c>
      <c r="O66" s="173">
        <f t="shared" si="7"/>
        <v>138</v>
      </c>
      <c r="P66" s="172">
        <f t="shared" si="8"/>
        <v>21.21</v>
      </c>
      <c r="Q66" s="173">
        <f t="shared" si="9"/>
        <v>0</v>
      </c>
      <c r="R66" s="172">
        <f t="shared" si="10"/>
        <v>159.21</v>
      </c>
      <c r="S66" s="172">
        <f t="shared" si="11"/>
        <v>559.21</v>
      </c>
      <c r="T66" s="171"/>
      <c r="U66" s="173">
        <f t="shared" si="12"/>
        <v>319.21000000000004</v>
      </c>
      <c r="V66" s="173">
        <v>959</v>
      </c>
      <c r="W66" s="172">
        <f t="shared" si="13"/>
        <v>639.79</v>
      </c>
      <c r="X66" s="171"/>
      <c r="Y66" s="171"/>
      <c r="Z66" s="171"/>
      <c r="AA66" s="180" t="s">
        <v>672</v>
      </c>
      <c r="AB66" s="180" t="s">
        <v>672</v>
      </c>
    </row>
    <row r="67" spans="2:29" hidden="1" x14ac:dyDescent="0.25">
      <c r="B67" s="173">
        <v>64</v>
      </c>
      <c r="C67" s="169" t="s">
        <v>60</v>
      </c>
      <c r="D67" s="169">
        <v>400</v>
      </c>
      <c r="E67" s="169">
        <v>400</v>
      </c>
      <c r="F67" s="169">
        <v>1.6</v>
      </c>
      <c r="G67" s="169">
        <v>25</v>
      </c>
      <c r="H67" s="169" t="s">
        <v>56</v>
      </c>
      <c r="I67" s="173">
        <v>60</v>
      </c>
      <c r="J67" s="173">
        <v>1.49</v>
      </c>
      <c r="K67" s="173">
        <v>0.4</v>
      </c>
      <c r="L67" s="173">
        <f>L27+48</f>
        <v>48</v>
      </c>
      <c r="M67" s="173">
        <v>50</v>
      </c>
      <c r="N67" s="174">
        <v>40</v>
      </c>
      <c r="O67" s="173">
        <f t="shared" si="7"/>
        <v>138</v>
      </c>
      <c r="P67" s="172">
        <f t="shared" si="8"/>
        <v>32.825000000000003</v>
      </c>
      <c r="Q67" s="173">
        <f t="shared" si="9"/>
        <v>49.17</v>
      </c>
      <c r="R67" s="172">
        <f t="shared" si="10"/>
        <v>219.995</v>
      </c>
      <c r="S67" s="172">
        <f t="shared" si="11"/>
        <v>619.995</v>
      </c>
      <c r="T67" s="171"/>
      <c r="U67" s="173">
        <f t="shared" si="12"/>
        <v>330.82499999999999</v>
      </c>
      <c r="V67" s="173">
        <v>959</v>
      </c>
      <c r="W67" s="172">
        <f t="shared" si="13"/>
        <v>628.17499999999995</v>
      </c>
      <c r="X67" s="171"/>
      <c r="Y67" s="171"/>
      <c r="Z67" s="171"/>
      <c r="AA67" s="180" t="s">
        <v>672</v>
      </c>
      <c r="AB67" s="180" t="s">
        <v>672</v>
      </c>
    </row>
    <row r="68" spans="2:29" hidden="1" x14ac:dyDescent="0.25">
      <c r="B68" s="173">
        <v>65</v>
      </c>
      <c r="C68" s="169" t="s">
        <v>60</v>
      </c>
      <c r="D68" s="169">
        <v>400</v>
      </c>
      <c r="E68" s="169">
        <v>400</v>
      </c>
      <c r="F68" s="169">
        <v>1.6</v>
      </c>
      <c r="G68" s="169">
        <v>25</v>
      </c>
      <c r="H68" s="169" t="s">
        <v>54</v>
      </c>
      <c r="I68" s="173">
        <v>80</v>
      </c>
      <c r="J68" s="173">
        <v>2.2400000000000002</v>
      </c>
      <c r="K68" s="173">
        <v>0.4</v>
      </c>
      <c r="L68" s="173">
        <f>L28+48</f>
        <v>48</v>
      </c>
      <c r="M68" s="173">
        <v>50</v>
      </c>
      <c r="N68" s="174">
        <v>40</v>
      </c>
      <c r="O68" s="173">
        <f t="shared" ref="O68:O83" si="15">L68+M68+N68</f>
        <v>138</v>
      </c>
      <c r="P68" s="172">
        <f t="shared" ref="P68:P83" si="16">(I68+5)*IF(F68=1,0.708,1.01)/2</f>
        <v>42.924999999999997</v>
      </c>
      <c r="Q68" s="173">
        <f t="shared" ref="Q68:Q83" si="17">ROUNDUP(I68+6,0)*J68/2</f>
        <v>96.320000000000007</v>
      </c>
      <c r="R68" s="172">
        <f t="shared" ref="R68:R83" si="18">O68+P68+Q68</f>
        <v>277.245</v>
      </c>
      <c r="S68" s="172">
        <f t="shared" ref="S68:S83" si="19">R68+D68</f>
        <v>677.245</v>
      </c>
      <c r="T68" s="171"/>
      <c r="U68" s="173">
        <f t="shared" ref="U68:U83" si="20">O68+P68+K68*D68</f>
        <v>340.92500000000001</v>
      </c>
      <c r="V68" s="173">
        <v>959</v>
      </c>
      <c r="W68" s="172">
        <f t="shared" ref="W68:W83" si="21">V68-U68</f>
        <v>618.07500000000005</v>
      </c>
      <c r="X68" s="171"/>
      <c r="Y68" s="171"/>
      <c r="Z68" s="171"/>
      <c r="AA68" s="180" t="s">
        <v>672</v>
      </c>
      <c r="AB68" s="180" t="s">
        <v>672</v>
      </c>
    </row>
    <row r="69" spans="2:29" hidden="1" x14ac:dyDescent="0.25">
      <c r="B69" s="176">
        <v>66</v>
      </c>
      <c r="C69" s="176" t="s">
        <v>60</v>
      </c>
      <c r="D69" s="176">
        <v>630</v>
      </c>
      <c r="E69" s="176">
        <v>630</v>
      </c>
      <c r="F69" s="176">
        <v>1</v>
      </c>
      <c r="G69" s="176">
        <v>25</v>
      </c>
      <c r="H69" s="176" t="s">
        <v>57</v>
      </c>
      <c r="I69" s="176">
        <v>37</v>
      </c>
      <c r="J69" s="176">
        <v>0</v>
      </c>
      <c r="K69" s="176">
        <v>0.4</v>
      </c>
      <c r="L69" s="176">
        <f t="shared" ref="L69:L78" si="22">L29+59</f>
        <v>672.2</v>
      </c>
      <c r="M69" s="176">
        <v>50</v>
      </c>
      <c r="N69" s="179">
        <v>63</v>
      </c>
      <c r="O69" s="176">
        <f t="shared" si="15"/>
        <v>785.2</v>
      </c>
      <c r="P69" s="177">
        <f t="shared" si="16"/>
        <v>14.867999999999999</v>
      </c>
      <c r="Q69" s="176">
        <f t="shared" si="17"/>
        <v>0</v>
      </c>
      <c r="R69" s="177">
        <f t="shared" si="18"/>
        <v>800.0680000000001</v>
      </c>
      <c r="S69" s="177">
        <f t="shared" si="19"/>
        <v>1430.0680000000002</v>
      </c>
      <c r="T69" s="176" t="s">
        <v>53</v>
      </c>
      <c r="U69" s="176">
        <f t="shared" si="20"/>
        <v>1052.0680000000002</v>
      </c>
      <c r="V69" s="176">
        <v>1081</v>
      </c>
      <c r="W69" s="177">
        <f t="shared" si="21"/>
        <v>28.931999999999789</v>
      </c>
      <c r="X69" s="176">
        <v>25</v>
      </c>
      <c r="Y69" s="176">
        <v>20</v>
      </c>
      <c r="Z69" s="176"/>
      <c r="AA69" s="176" t="s">
        <v>675</v>
      </c>
      <c r="AB69" s="176" t="s">
        <v>675</v>
      </c>
      <c r="AC69" s="175" t="s">
        <v>677</v>
      </c>
    </row>
    <row r="70" spans="2:29" hidden="1" x14ac:dyDescent="0.25">
      <c r="B70" s="176">
        <v>67</v>
      </c>
      <c r="C70" s="176" t="s">
        <v>60</v>
      </c>
      <c r="D70" s="176">
        <v>630</v>
      </c>
      <c r="E70" s="176">
        <v>630</v>
      </c>
      <c r="F70" s="176">
        <v>1</v>
      </c>
      <c r="G70" s="176">
        <v>25</v>
      </c>
      <c r="H70" s="176" t="s">
        <v>56</v>
      </c>
      <c r="I70" s="176">
        <v>60</v>
      </c>
      <c r="J70" s="176">
        <v>1.49</v>
      </c>
      <c r="K70" s="176">
        <v>0.4</v>
      </c>
      <c r="L70" s="176">
        <f t="shared" si="22"/>
        <v>672.2</v>
      </c>
      <c r="M70" s="176">
        <v>50</v>
      </c>
      <c r="N70" s="179">
        <v>63</v>
      </c>
      <c r="O70" s="176">
        <f t="shared" si="15"/>
        <v>785.2</v>
      </c>
      <c r="P70" s="177">
        <f t="shared" si="16"/>
        <v>23.009999999999998</v>
      </c>
      <c r="Q70" s="176">
        <f t="shared" si="17"/>
        <v>49.17</v>
      </c>
      <c r="R70" s="177">
        <f t="shared" si="18"/>
        <v>857.38</v>
      </c>
      <c r="S70" s="177">
        <f t="shared" si="19"/>
        <v>1487.38</v>
      </c>
      <c r="T70" s="176" t="s">
        <v>53</v>
      </c>
      <c r="U70" s="176">
        <f t="shared" si="20"/>
        <v>1060.21</v>
      </c>
      <c r="V70" s="176">
        <v>1081</v>
      </c>
      <c r="W70" s="177">
        <f t="shared" si="21"/>
        <v>20.789999999999964</v>
      </c>
      <c r="X70" s="176">
        <v>25</v>
      </c>
      <c r="Y70" s="176">
        <v>20</v>
      </c>
      <c r="Z70" s="176"/>
      <c r="AA70" s="176" t="s">
        <v>675</v>
      </c>
      <c r="AB70" s="176" t="s">
        <v>675</v>
      </c>
      <c r="AC70" s="175" t="s">
        <v>677</v>
      </c>
    </row>
    <row r="71" spans="2:29" hidden="1" x14ac:dyDescent="0.25">
      <c r="B71" s="176">
        <v>68</v>
      </c>
      <c r="C71" s="176" t="s">
        <v>60</v>
      </c>
      <c r="D71" s="176">
        <v>630</v>
      </c>
      <c r="E71" s="176">
        <v>630</v>
      </c>
      <c r="F71" s="176">
        <v>1.6</v>
      </c>
      <c r="G71" s="176">
        <v>25</v>
      </c>
      <c r="H71" s="176" t="s">
        <v>57</v>
      </c>
      <c r="I71" s="176">
        <v>37</v>
      </c>
      <c r="J71" s="176">
        <v>0</v>
      </c>
      <c r="K71" s="176">
        <v>0.4</v>
      </c>
      <c r="L71" s="176">
        <f t="shared" si="22"/>
        <v>672.2</v>
      </c>
      <c r="M71" s="176">
        <v>50</v>
      </c>
      <c r="N71" s="179">
        <v>63</v>
      </c>
      <c r="O71" s="176">
        <f t="shared" si="15"/>
        <v>785.2</v>
      </c>
      <c r="P71" s="177">
        <f t="shared" si="16"/>
        <v>21.21</v>
      </c>
      <c r="Q71" s="176">
        <f t="shared" si="17"/>
        <v>0</v>
      </c>
      <c r="R71" s="177">
        <f t="shared" si="18"/>
        <v>806.41000000000008</v>
      </c>
      <c r="S71" s="177">
        <f t="shared" si="19"/>
        <v>1436.41</v>
      </c>
      <c r="T71" s="176" t="s">
        <v>53</v>
      </c>
      <c r="U71" s="176">
        <f t="shared" si="20"/>
        <v>1058.4100000000001</v>
      </c>
      <c r="V71" s="176">
        <v>1081</v>
      </c>
      <c r="W71" s="177">
        <f t="shared" si="21"/>
        <v>22.589999999999918</v>
      </c>
      <c r="X71" s="176">
        <v>25</v>
      </c>
      <c r="Y71" s="176">
        <v>20</v>
      </c>
      <c r="Z71" s="176"/>
      <c r="AA71" s="176" t="s">
        <v>675</v>
      </c>
      <c r="AB71" s="176" t="s">
        <v>675</v>
      </c>
      <c r="AC71" s="175" t="s">
        <v>677</v>
      </c>
    </row>
    <row r="72" spans="2:29" hidden="1" x14ac:dyDescent="0.25">
      <c r="B72" s="176">
        <v>69</v>
      </c>
      <c r="C72" s="176" t="s">
        <v>60</v>
      </c>
      <c r="D72" s="176">
        <v>630</v>
      </c>
      <c r="E72" s="176">
        <v>630</v>
      </c>
      <c r="F72" s="176">
        <v>1.6</v>
      </c>
      <c r="G72" s="176">
        <v>25</v>
      </c>
      <c r="H72" s="176" t="s">
        <v>56</v>
      </c>
      <c r="I72" s="176">
        <v>60</v>
      </c>
      <c r="J72" s="176">
        <v>1.49</v>
      </c>
      <c r="K72" s="176">
        <v>0.4</v>
      </c>
      <c r="L72" s="176">
        <f t="shared" si="22"/>
        <v>672.2</v>
      </c>
      <c r="M72" s="176">
        <v>50</v>
      </c>
      <c r="N72" s="179">
        <v>63</v>
      </c>
      <c r="O72" s="176">
        <f t="shared" si="15"/>
        <v>785.2</v>
      </c>
      <c r="P72" s="177">
        <f t="shared" si="16"/>
        <v>32.825000000000003</v>
      </c>
      <c r="Q72" s="176">
        <f t="shared" si="17"/>
        <v>49.17</v>
      </c>
      <c r="R72" s="177">
        <f t="shared" si="18"/>
        <v>867.19500000000005</v>
      </c>
      <c r="S72" s="177">
        <f t="shared" si="19"/>
        <v>1497.1950000000002</v>
      </c>
      <c r="T72" s="176" t="s">
        <v>53</v>
      </c>
      <c r="U72" s="176">
        <f t="shared" si="20"/>
        <v>1070.0250000000001</v>
      </c>
      <c r="V72" s="176">
        <v>1081</v>
      </c>
      <c r="W72" s="177">
        <f t="shared" si="21"/>
        <v>10.974999999999909</v>
      </c>
      <c r="X72" s="176">
        <v>25</v>
      </c>
      <c r="Y72" s="176">
        <v>20</v>
      </c>
      <c r="Z72" s="176"/>
      <c r="AA72" s="176" t="s">
        <v>675</v>
      </c>
      <c r="AB72" s="176" t="s">
        <v>675</v>
      </c>
      <c r="AC72" s="175" t="s">
        <v>677</v>
      </c>
    </row>
    <row r="73" spans="2:29" hidden="1" x14ac:dyDescent="0.25">
      <c r="B73" s="176">
        <v>70</v>
      </c>
      <c r="C73" s="176" t="s">
        <v>60</v>
      </c>
      <c r="D73" s="176">
        <v>630</v>
      </c>
      <c r="E73" s="176">
        <v>630</v>
      </c>
      <c r="F73" s="176">
        <v>1.6</v>
      </c>
      <c r="G73" s="176">
        <v>25</v>
      </c>
      <c r="H73" s="176" t="s">
        <v>54</v>
      </c>
      <c r="I73" s="176">
        <v>80</v>
      </c>
      <c r="J73" s="176">
        <v>2.2400000000000002</v>
      </c>
      <c r="K73" s="176">
        <v>0.4</v>
      </c>
      <c r="L73" s="176">
        <f t="shared" si="22"/>
        <v>672.2</v>
      </c>
      <c r="M73" s="176">
        <v>50</v>
      </c>
      <c r="N73" s="179">
        <v>63</v>
      </c>
      <c r="O73" s="176">
        <f t="shared" si="15"/>
        <v>785.2</v>
      </c>
      <c r="P73" s="177">
        <f t="shared" si="16"/>
        <v>42.924999999999997</v>
      </c>
      <c r="Q73" s="176">
        <f t="shared" si="17"/>
        <v>96.320000000000007</v>
      </c>
      <c r="R73" s="177">
        <f t="shared" si="18"/>
        <v>924.44500000000005</v>
      </c>
      <c r="S73" s="177">
        <f t="shared" si="19"/>
        <v>1554.4450000000002</v>
      </c>
      <c r="T73" s="178" t="s">
        <v>53</v>
      </c>
      <c r="U73" s="176">
        <f t="shared" si="20"/>
        <v>1080.125</v>
      </c>
      <c r="V73" s="176">
        <v>1081</v>
      </c>
      <c r="W73" s="177">
        <f t="shared" si="21"/>
        <v>0.875</v>
      </c>
      <c r="X73" s="176">
        <v>25</v>
      </c>
      <c r="Y73" s="176">
        <v>20</v>
      </c>
      <c r="Z73" s="176"/>
      <c r="AA73" s="176" t="s">
        <v>675</v>
      </c>
      <c r="AB73" s="176" t="s">
        <v>675</v>
      </c>
      <c r="AC73" s="175" t="s">
        <v>677</v>
      </c>
    </row>
    <row r="74" spans="2:29" hidden="1" x14ac:dyDescent="0.25">
      <c r="B74" s="173">
        <v>71</v>
      </c>
      <c r="C74" s="169" t="s">
        <v>60</v>
      </c>
      <c r="D74" s="169">
        <v>1000</v>
      </c>
      <c r="E74" s="169" t="s">
        <v>63</v>
      </c>
      <c r="F74" s="169">
        <v>1</v>
      </c>
      <c r="G74" s="169">
        <v>25</v>
      </c>
      <c r="H74" s="169" t="s">
        <v>62</v>
      </c>
      <c r="I74" s="173">
        <v>30</v>
      </c>
      <c r="J74" s="173">
        <v>0</v>
      </c>
      <c r="K74" s="173">
        <v>0.4</v>
      </c>
      <c r="L74" s="169">
        <f t="shared" si="22"/>
        <v>795.19999999999993</v>
      </c>
      <c r="M74" s="173">
        <v>50</v>
      </c>
      <c r="N74" s="174">
        <v>100</v>
      </c>
      <c r="O74" s="173">
        <f t="shared" si="15"/>
        <v>945.19999999999993</v>
      </c>
      <c r="P74" s="172">
        <f t="shared" si="16"/>
        <v>12.389999999999999</v>
      </c>
      <c r="Q74" s="173">
        <f t="shared" si="17"/>
        <v>0</v>
      </c>
      <c r="R74" s="172">
        <f t="shared" si="18"/>
        <v>957.58999999999992</v>
      </c>
      <c r="S74" s="172">
        <f t="shared" si="19"/>
        <v>1957.59</v>
      </c>
      <c r="T74" s="170" t="s">
        <v>58</v>
      </c>
      <c r="U74" s="173">
        <f t="shared" si="20"/>
        <v>1357.59</v>
      </c>
      <c r="V74" s="173">
        <v>1389</v>
      </c>
      <c r="W74" s="172">
        <f t="shared" si="21"/>
        <v>31.410000000000082</v>
      </c>
      <c r="X74" s="171"/>
      <c r="Y74" s="170">
        <v>40</v>
      </c>
      <c r="Z74" s="170">
        <v>23</v>
      </c>
      <c r="AA74" s="169" t="s">
        <v>673</v>
      </c>
      <c r="AB74" s="169" t="s">
        <v>673</v>
      </c>
    </row>
    <row r="75" spans="2:29" hidden="1" x14ac:dyDescent="0.25">
      <c r="B75" s="173">
        <v>72</v>
      </c>
      <c r="C75" s="169" t="s">
        <v>60</v>
      </c>
      <c r="D75" s="169">
        <v>1000</v>
      </c>
      <c r="E75" s="169" t="s">
        <v>63</v>
      </c>
      <c r="F75" s="169">
        <v>1</v>
      </c>
      <c r="G75" s="169">
        <v>25</v>
      </c>
      <c r="H75" s="169" t="s">
        <v>61</v>
      </c>
      <c r="I75" s="173">
        <v>60</v>
      </c>
      <c r="J75" s="173">
        <v>2.98</v>
      </c>
      <c r="K75" s="173">
        <v>0.4</v>
      </c>
      <c r="L75" s="169">
        <f t="shared" si="22"/>
        <v>795.19999999999993</v>
      </c>
      <c r="M75" s="173">
        <v>50</v>
      </c>
      <c r="N75" s="174">
        <v>100</v>
      </c>
      <c r="O75" s="173">
        <f t="shared" si="15"/>
        <v>945.19999999999993</v>
      </c>
      <c r="P75" s="172">
        <f t="shared" si="16"/>
        <v>23.009999999999998</v>
      </c>
      <c r="Q75" s="173">
        <f t="shared" si="17"/>
        <v>98.34</v>
      </c>
      <c r="R75" s="172">
        <f t="shared" si="18"/>
        <v>1066.55</v>
      </c>
      <c r="S75" s="172">
        <f t="shared" si="19"/>
        <v>2066.5500000000002</v>
      </c>
      <c r="T75" s="170" t="s">
        <v>58</v>
      </c>
      <c r="U75" s="173">
        <f t="shared" si="20"/>
        <v>1368.21</v>
      </c>
      <c r="V75" s="173">
        <v>1389</v>
      </c>
      <c r="W75" s="172">
        <f t="shared" si="21"/>
        <v>20.789999999999964</v>
      </c>
      <c r="X75" s="171"/>
      <c r="Y75" s="170">
        <v>40</v>
      </c>
      <c r="Z75" s="170">
        <v>23</v>
      </c>
      <c r="AA75" s="169" t="s">
        <v>673</v>
      </c>
      <c r="AB75" s="169" t="s">
        <v>673</v>
      </c>
    </row>
    <row r="76" spans="2:29" hidden="1" x14ac:dyDescent="0.25">
      <c r="B76" s="173">
        <v>73</v>
      </c>
      <c r="C76" s="169" t="s">
        <v>60</v>
      </c>
      <c r="D76" s="169">
        <v>1000</v>
      </c>
      <c r="E76" s="169" t="s">
        <v>63</v>
      </c>
      <c r="F76" s="169">
        <v>1.6</v>
      </c>
      <c r="G76" s="169">
        <v>25</v>
      </c>
      <c r="H76" s="169" t="s">
        <v>62</v>
      </c>
      <c r="I76" s="173">
        <v>30</v>
      </c>
      <c r="J76" s="173">
        <v>0</v>
      </c>
      <c r="K76" s="173">
        <v>0.4</v>
      </c>
      <c r="L76" s="169">
        <f t="shared" si="22"/>
        <v>795.19999999999993</v>
      </c>
      <c r="M76" s="173">
        <v>50</v>
      </c>
      <c r="N76" s="174">
        <v>100</v>
      </c>
      <c r="O76" s="173">
        <f t="shared" si="15"/>
        <v>945.19999999999993</v>
      </c>
      <c r="P76" s="172">
        <f t="shared" si="16"/>
        <v>17.675000000000001</v>
      </c>
      <c r="Q76" s="173">
        <f t="shared" si="17"/>
        <v>0</v>
      </c>
      <c r="R76" s="172">
        <f t="shared" si="18"/>
        <v>962.87499999999989</v>
      </c>
      <c r="S76" s="172">
        <f t="shared" si="19"/>
        <v>1962.875</v>
      </c>
      <c r="T76" s="170" t="s">
        <v>58</v>
      </c>
      <c r="U76" s="173">
        <f t="shared" si="20"/>
        <v>1362.875</v>
      </c>
      <c r="V76" s="173">
        <v>1389</v>
      </c>
      <c r="W76" s="172">
        <f t="shared" si="21"/>
        <v>26.125</v>
      </c>
      <c r="X76" s="171"/>
      <c r="Y76" s="170">
        <v>40</v>
      </c>
      <c r="Z76" s="170">
        <v>23</v>
      </c>
      <c r="AA76" s="169" t="s">
        <v>673</v>
      </c>
      <c r="AB76" s="169" t="s">
        <v>673</v>
      </c>
    </row>
    <row r="77" spans="2:29" hidden="1" x14ac:dyDescent="0.25">
      <c r="B77" s="173">
        <v>74</v>
      </c>
      <c r="C77" s="169" t="s">
        <v>60</v>
      </c>
      <c r="D77" s="169">
        <v>1000</v>
      </c>
      <c r="E77" s="169" t="s">
        <v>63</v>
      </c>
      <c r="F77" s="169">
        <v>1.6</v>
      </c>
      <c r="G77" s="169">
        <v>25</v>
      </c>
      <c r="H77" s="169" t="s">
        <v>61</v>
      </c>
      <c r="I77" s="173">
        <v>60</v>
      </c>
      <c r="J77" s="173">
        <v>2.98</v>
      </c>
      <c r="K77" s="173">
        <v>0.4</v>
      </c>
      <c r="L77" s="169">
        <f t="shared" si="22"/>
        <v>795.19999999999993</v>
      </c>
      <c r="M77" s="173">
        <v>50</v>
      </c>
      <c r="N77" s="174">
        <v>100</v>
      </c>
      <c r="O77" s="173">
        <f t="shared" si="15"/>
        <v>945.19999999999993</v>
      </c>
      <c r="P77" s="172">
        <f t="shared" si="16"/>
        <v>32.825000000000003</v>
      </c>
      <c r="Q77" s="173">
        <f t="shared" si="17"/>
        <v>98.34</v>
      </c>
      <c r="R77" s="172">
        <f t="shared" si="18"/>
        <v>1076.365</v>
      </c>
      <c r="S77" s="172">
        <f t="shared" si="19"/>
        <v>2076.3649999999998</v>
      </c>
      <c r="T77" s="170" t="s">
        <v>58</v>
      </c>
      <c r="U77" s="173">
        <f t="shared" si="20"/>
        <v>1378.0250000000001</v>
      </c>
      <c r="V77" s="173">
        <v>1389</v>
      </c>
      <c r="W77" s="172">
        <f t="shared" si="21"/>
        <v>10.974999999999909</v>
      </c>
      <c r="X77" s="171"/>
      <c r="Y77" s="170">
        <v>40</v>
      </c>
      <c r="Z77" s="170">
        <v>23</v>
      </c>
      <c r="AA77" s="169" t="s">
        <v>673</v>
      </c>
      <c r="AB77" s="169" t="s">
        <v>673</v>
      </c>
    </row>
    <row r="78" spans="2:29" hidden="1" x14ac:dyDescent="0.25">
      <c r="B78" s="173">
        <v>75</v>
      </c>
      <c r="C78" s="169" t="s">
        <v>60</v>
      </c>
      <c r="D78" s="169">
        <v>1000</v>
      </c>
      <c r="E78" s="169" t="s">
        <v>63</v>
      </c>
      <c r="F78" s="169">
        <v>1.6</v>
      </c>
      <c r="G78" s="169">
        <v>25</v>
      </c>
      <c r="H78" s="169" t="s">
        <v>54</v>
      </c>
      <c r="I78" s="173">
        <v>80</v>
      </c>
      <c r="J78" s="173">
        <v>2.98</v>
      </c>
      <c r="K78" s="173">
        <v>0.4</v>
      </c>
      <c r="L78" s="169">
        <f t="shared" si="22"/>
        <v>795.19999999999993</v>
      </c>
      <c r="M78" s="173">
        <v>50</v>
      </c>
      <c r="N78" s="174">
        <v>100</v>
      </c>
      <c r="O78" s="173">
        <f t="shared" si="15"/>
        <v>945.19999999999993</v>
      </c>
      <c r="P78" s="172">
        <f t="shared" si="16"/>
        <v>42.924999999999997</v>
      </c>
      <c r="Q78" s="173">
        <f t="shared" si="17"/>
        <v>128.13999999999999</v>
      </c>
      <c r="R78" s="172">
        <f t="shared" si="18"/>
        <v>1116.2649999999999</v>
      </c>
      <c r="S78" s="172">
        <f t="shared" si="19"/>
        <v>2116.2649999999999</v>
      </c>
      <c r="T78" s="170" t="s">
        <v>58</v>
      </c>
      <c r="U78" s="173">
        <f t="shared" si="20"/>
        <v>1388.125</v>
      </c>
      <c r="V78" s="173">
        <v>1389</v>
      </c>
      <c r="W78" s="172">
        <f t="shared" si="21"/>
        <v>0.875</v>
      </c>
      <c r="X78" s="171"/>
      <c r="Y78" s="170">
        <v>40</v>
      </c>
      <c r="Z78" s="170">
        <v>23</v>
      </c>
      <c r="AA78" s="169" t="s">
        <v>673</v>
      </c>
      <c r="AB78" s="169" t="s">
        <v>673</v>
      </c>
    </row>
    <row r="79" spans="2:29" hidden="1" x14ac:dyDescent="0.25">
      <c r="B79" s="173">
        <v>76</v>
      </c>
      <c r="C79" s="169" t="s">
        <v>60</v>
      </c>
      <c r="D79" s="169">
        <v>1000</v>
      </c>
      <c r="E79" s="169" t="s">
        <v>59</v>
      </c>
      <c r="F79" s="169">
        <v>1</v>
      </c>
      <c r="G79" s="169">
        <v>25</v>
      </c>
      <c r="H79" s="169" t="s">
        <v>62</v>
      </c>
      <c r="I79" s="173">
        <v>30</v>
      </c>
      <c r="J79" s="173">
        <v>0</v>
      </c>
      <c r="K79" s="173">
        <v>0.4</v>
      </c>
      <c r="L79" s="169">
        <f>L39+74</f>
        <v>912.7</v>
      </c>
      <c r="M79" s="173">
        <v>50</v>
      </c>
      <c r="N79" s="174">
        <v>100</v>
      </c>
      <c r="O79" s="173">
        <f t="shared" si="15"/>
        <v>1062.7</v>
      </c>
      <c r="P79" s="172">
        <f t="shared" si="16"/>
        <v>12.389999999999999</v>
      </c>
      <c r="Q79" s="173">
        <f t="shared" si="17"/>
        <v>0</v>
      </c>
      <c r="R79" s="172">
        <f t="shared" si="18"/>
        <v>1075.0900000000001</v>
      </c>
      <c r="S79" s="172">
        <f t="shared" si="19"/>
        <v>2075.09</v>
      </c>
      <c r="T79" s="170" t="s">
        <v>58</v>
      </c>
      <c r="U79" s="173">
        <f t="shared" si="20"/>
        <v>1475.0900000000001</v>
      </c>
      <c r="V79" s="173">
        <v>1506</v>
      </c>
      <c r="W79" s="172">
        <f t="shared" si="21"/>
        <v>30.909999999999854</v>
      </c>
      <c r="X79" s="171"/>
      <c r="Y79" s="170">
        <v>37</v>
      </c>
      <c r="Z79" s="170">
        <v>39</v>
      </c>
      <c r="AA79" s="169" t="s">
        <v>673</v>
      </c>
      <c r="AB79" s="169" t="s">
        <v>673</v>
      </c>
    </row>
    <row r="80" spans="2:29" hidden="1" x14ac:dyDescent="0.25">
      <c r="B80" s="173">
        <v>77</v>
      </c>
      <c r="C80" s="169" t="s">
        <v>60</v>
      </c>
      <c r="D80" s="169">
        <v>1000</v>
      </c>
      <c r="E80" s="169" t="s">
        <v>59</v>
      </c>
      <c r="F80" s="169">
        <v>1</v>
      </c>
      <c r="G80" s="169">
        <v>25</v>
      </c>
      <c r="H80" s="169" t="s">
        <v>61</v>
      </c>
      <c r="I80" s="173">
        <v>60</v>
      </c>
      <c r="J80" s="173">
        <v>2.98</v>
      </c>
      <c r="K80" s="173">
        <v>0.4</v>
      </c>
      <c r="L80" s="169">
        <f>L40+74</f>
        <v>912.7</v>
      </c>
      <c r="M80" s="173">
        <v>50</v>
      </c>
      <c r="N80" s="174">
        <v>100</v>
      </c>
      <c r="O80" s="173">
        <f t="shared" si="15"/>
        <v>1062.7</v>
      </c>
      <c r="P80" s="172">
        <f t="shared" si="16"/>
        <v>23.009999999999998</v>
      </c>
      <c r="Q80" s="173">
        <f t="shared" si="17"/>
        <v>98.34</v>
      </c>
      <c r="R80" s="172">
        <f t="shared" si="18"/>
        <v>1184.05</v>
      </c>
      <c r="S80" s="172">
        <f t="shared" si="19"/>
        <v>2184.0500000000002</v>
      </c>
      <c r="T80" s="170" t="s">
        <v>669</v>
      </c>
      <c r="U80" s="173">
        <f t="shared" si="20"/>
        <v>1485.71</v>
      </c>
      <c r="V80" s="173">
        <v>1506</v>
      </c>
      <c r="W80" s="172">
        <f t="shared" si="21"/>
        <v>20.289999999999964</v>
      </c>
      <c r="X80" s="171"/>
      <c r="Y80" s="170">
        <v>37</v>
      </c>
      <c r="Z80" s="170">
        <v>39</v>
      </c>
      <c r="AA80" s="169" t="s">
        <v>673</v>
      </c>
      <c r="AB80" s="169" t="s">
        <v>673</v>
      </c>
    </row>
    <row r="81" spans="2:28" hidden="1" x14ac:dyDescent="0.25">
      <c r="B81" s="173">
        <v>78</v>
      </c>
      <c r="C81" s="169" t="s">
        <v>60</v>
      </c>
      <c r="D81" s="169">
        <v>1000</v>
      </c>
      <c r="E81" s="169" t="s">
        <v>59</v>
      </c>
      <c r="F81" s="169">
        <v>1.6</v>
      </c>
      <c r="G81" s="169">
        <v>25</v>
      </c>
      <c r="H81" s="169" t="s">
        <v>62</v>
      </c>
      <c r="I81" s="173">
        <v>30</v>
      </c>
      <c r="J81" s="173">
        <v>0</v>
      </c>
      <c r="K81" s="173">
        <v>0.4</v>
      </c>
      <c r="L81" s="169">
        <f>L41+74</f>
        <v>912.7</v>
      </c>
      <c r="M81" s="173">
        <v>50</v>
      </c>
      <c r="N81" s="174">
        <v>100</v>
      </c>
      <c r="O81" s="173">
        <f t="shared" si="15"/>
        <v>1062.7</v>
      </c>
      <c r="P81" s="172">
        <f t="shared" si="16"/>
        <v>17.675000000000001</v>
      </c>
      <c r="Q81" s="173">
        <f t="shared" si="17"/>
        <v>0</v>
      </c>
      <c r="R81" s="172">
        <f t="shared" si="18"/>
        <v>1080.375</v>
      </c>
      <c r="S81" s="172">
        <f t="shared" si="19"/>
        <v>2080.375</v>
      </c>
      <c r="T81" s="170" t="s">
        <v>58</v>
      </c>
      <c r="U81" s="173">
        <f t="shared" si="20"/>
        <v>1480.375</v>
      </c>
      <c r="V81" s="173">
        <v>1506</v>
      </c>
      <c r="W81" s="172">
        <f t="shared" si="21"/>
        <v>25.625</v>
      </c>
      <c r="X81" s="171"/>
      <c r="Y81" s="170">
        <v>37</v>
      </c>
      <c r="Z81" s="170">
        <v>39</v>
      </c>
      <c r="AA81" s="169" t="s">
        <v>673</v>
      </c>
      <c r="AB81" s="169" t="s">
        <v>673</v>
      </c>
    </row>
    <row r="82" spans="2:28" hidden="1" x14ac:dyDescent="0.25">
      <c r="B82" s="173">
        <v>79</v>
      </c>
      <c r="C82" s="169" t="s">
        <v>60</v>
      </c>
      <c r="D82" s="169">
        <v>1000</v>
      </c>
      <c r="E82" s="169" t="s">
        <v>59</v>
      </c>
      <c r="F82" s="169">
        <v>1.6</v>
      </c>
      <c r="G82" s="169">
        <v>25</v>
      </c>
      <c r="H82" s="169" t="s">
        <v>61</v>
      </c>
      <c r="I82" s="173">
        <v>60</v>
      </c>
      <c r="J82" s="173">
        <v>2.98</v>
      </c>
      <c r="K82" s="173">
        <v>0.4</v>
      </c>
      <c r="L82" s="169">
        <f>L42+74</f>
        <v>912.7</v>
      </c>
      <c r="M82" s="173">
        <v>50</v>
      </c>
      <c r="N82" s="174">
        <v>100</v>
      </c>
      <c r="O82" s="173">
        <f t="shared" si="15"/>
        <v>1062.7</v>
      </c>
      <c r="P82" s="172">
        <f t="shared" si="16"/>
        <v>32.825000000000003</v>
      </c>
      <c r="Q82" s="173">
        <f t="shared" si="17"/>
        <v>98.34</v>
      </c>
      <c r="R82" s="172">
        <f t="shared" si="18"/>
        <v>1193.865</v>
      </c>
      <c r="S82" s="172">
        <f t="shared" si="19"/>
        <v>2193.8649999999998</v>
      </c>
      <c r="T82" s="170" t="s">
        <v>669</v>
      </c>
      <c r="U82" s="173">
        <f t="shared" si="20"/>
        <v>1495.5250000000001</v>
      </c>
      <c r="V82" s="173">
        <v>1506</v>
      </c>
      <c r="W82" s="172">
        <f t="shared" si="21"/>
        <v>10.474999999999909</v>
      </c>
      <c r="X82" s="171"/>
      <c r="Y82" s="170">
        <v>37</v>
      </c>
      <c r="Z82" s="170">
        <v>39</v>
      </c>
      <c r="AA82" s="169" t="s">
        <v>673</v>
      </c>
      <c r="AB82" s="169" t="s">
        <v>673</v>
      </c>
    </row>
    <row r="83" spans="2:28" hidden="1" x14ac:dyDescent="0.25">
      <c r="B83" s="173">
        <v>80</v>
      </c>
      <c r="C83" s="169" t="s">
        <v>60</v>
      </c>
      <c r="D83" s="169">
        <v>1000</v>
      </c>
      <c r="E83" s="169" t="s">
        <v>59</v>
      </c>
      <c r="F83" s="169">
        <v>1.6</v>
      </c>
      <c r="G83" s="169">
        <v>25</v>
      </c>
      <c r="H83" s="169" t="s">
        <v>54</v>
      </c>
      <c r="I83" s="173">
        <v>80</v>
      </c>
      <c r="J83" s="173">
        <v>2.98</v>
      </c>
      <c r="K83" s="173">
        <v>0.4</v>
      </c>
      <c r="L83" s="169">
        <f>L43+74</f>
        <v>912.7</v>
      </c>
      <c r="M83" s="173">
        <v>50</v>
      </c>
      <c r="N83" s="174">
        <v>100</v>
      </c>
      <c r="O83" s="173">
        <f t="shared" si="15"/>
        <v>1062.7</v>
      </c>
      <c r="P83" s="172">
        <f t="shared" si="16"/>
        <v>42.924999999999997</v>
      </c>
      <c r="Q83" s="173">
        <f t="shared" si="17"/>
        <v>128.13999999999999</v>
      </c>
      <c r="R83" s="172">
        <f t="shared" si="18"/>
        <v>1233.7649999999999</v>
      </c>
      <c r="S83" s="172">
        <f t="shared" si="19"/>
        <v>2233.7649999999999</v>
      </c>
      <c r="T83" s="170" t="s">
        <v>669</v>
      </c>
      <c r="U83" s="173">
        <f t="shared" si="20"/>
        <v>1505.625</v>
      </c>
      <c r="V83" s="173">
        <v>1506</v>
      </c>
      <c r="W83" s="172">
        <f t="shared" si="21"/>
        <v>0.375</v>
      </c>
      <c r="X83" s="171"/>
      <c r="Y83" s="170">
        <v>37</v>
      </c>
      <c r="Z83" s="170">
        <v>39</v>
      </c>
      <c r="AA83" s="169" t="s">
        <v>673</v>
      </c>
      <c r="AB83" s="169" t="s">
        <v>673</v>
      </c>
    </row>
    <row r="84" spans="2:28" x14ac:dyDescent="0.25">
      <c r="B84" s="164"/>
      <c r="C84" s="165"/>
      <c r="D84" s="165"/>
      <c r="E84" s="165"/>
      <c r="F84" s="165"/>
      <c r="G84" s="165"/>
      <c r="H84" s="165"/>
      <c r="I84" s="164"/>
      <c r="J84" s="164"/>
      <c r="K84" s="164"/>
      <c r="L84" s="164"/>
      <c r="M84" s="164"/>
      <c r="N84" s="168"/>
      <c r="O84" s="164"/>
      <c r="P84" s="163"/>
      <c r="Q84" s="164"/>
      <c r="R84" s="163"/>
      <c r="S84" s="163"/>
      <c r="T84" s="167"/>
      <c r="U84" s="164"/>
      <c r="V84" s="164"/>
      <c r="W84" s="163"/>
      <c r="X84" s="166"/>
      <c r="Y84" s="166"/>
      <c r="Z84" s="164"/>
      <c r="AA84" s="164"/>
    </row>
    <row r="85" spans="2:28" ht="15.75" customHeight="1" x14ac:dyDescent="0.25">
      <c r="B85" s="164"/>
      <c r="C85" s="165"/>
      <c r="D85" s="165"/>
      <c r="E85" s="165"/>
      <c r="F85" s="165"/>
      <c r="G85" s="165"/>
      <c r="H85" s="165"/>
      <c r="I85" s="164"/>
      <c r="J85" s="164"/>
      <c r="K85" s="164"/>
      <c r="L85" s="164"/>
      <c r="M85" s="164"/>
      <c r="N85" s="164"/>
      <c r="O85" s="164"/>
      <c r="P85" s="163"/>
      <c r="Q85" s="164"/>
      <c r="R85" s="163"/>
      <c r="S85" s="163"/>
      <c r="T85" s="164"/>
      <c r="U85" s="164"/>
      <c r="V85" s="164"/>
      <c r="W85" s="163"/>
      <c r="X85" s="163"/>
      <c r="Y85" s="163"/>
      <c r="Z85" s="163"/>
      <c r="AA85" s="163"/>
    </row>
    <row r="86" spans="2:28" x14ac:dyDescent="0.25">
      <c r="B86" s="162" t="s">
        <v>52</v>
      </c>
    </row>
    <row r="87" spans="2:28" x14ac:dyDescent="0.25">
      <c r="B87" s="162" t="s">
        <v>51</v>
      </c>
    </row>
    <row r="88" spans="2:28" x14ac:dyDescent="0.25">
      <c r="B88" s="162"/>
    </row>
    <row r="89" spans="2:28" x14ac:dyDescent="0.25">
      <c r="B89" s="162" t="s">
        <v>50</v>
      </c>
    </row>
    <row r="90" spans="2:28" x14ac:dyDescent="0.25">
      <c r="B90" s="162"/>
    </row>
    <row r="92" spans="2:28" x14ac:dyDescent="0.25">
      <c r="D92" s="160" t="s">
        <v>49</v>
      </c>
      <c r="E92" s="160">
        <v>632</v>
      </c>
      <c r="F92" s="162" t="s">
        <v>48</v>
      </c>
      <c r="G92" s="161"/>
      <c r="H92" s="161"/>
    </row>
    <row r="93" spans="2:28" x14ac:dyDescent="0.25">
      <c r="D93" s="160" t="s">
        <v>47</v>
      </c>
      <c r="E93" s="160">
        <v>633</v>
      </c>
      <c r="F93" s="162" t="s">
        <v>46</v>
      </c>
      <c r="G93" s="161"/>
      <c r="H93" s="161"/>
    </row>
    <row r="94" spans="2:28" x14ac:dyDescent="0.25">
      <c r="D94" s="160" t="s">
        <v>45</v>
      </c>
      <c r="E94" s="160">
        <v>634</v>
      </c>
      <c r="F94" s="162" t="s">
        <v>44</v>
      </c>
      <c r="G94" s="161"/>
      <c r="H94" s="161"/>
    </row>
  </sheetData>
  <autoFilter ref="B3:AB83">
    <filterColumn colId="1">
      <filters>
        <filter val="No"/>
      </filters>
    </filterColumn>
    <filterColumn colId="2">
      <filters>
        <filter val="1000"/>
      </filters>
    </filterColumn>
    <filterColumn colId="3">
      <filters>
        <filter val="Deep"/>
      </filters>
    </filterColumn>
    <filterColumn colId="4">
      <filters>
        <filter val="1,6"/>
      </filters>
    </filterColumn>
    <filterColumn colId="5">
      <filters>
        <filter val="3"/>
      </filters>
    </filterColumn>
    <filterColumn colId="6">
      <filters>
        <filter val="60 &lt; TH &lt;= 80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L16"/>
  <sheetViews>
    <sheetView showGridLines="0" workbookViewId="0">
      <selection activeCell="N6" sqref="N6"/>
    </sheetView>
  </sheetViews>
  <sheetFormatPr defaultRowHeight="15" x14ac:dyDescent="0.25"/>
  <cols>
    <col min="1" max="2" width="9.140625" style="11"/>
    <col min="3" max="3" width="32.42578125" style="11" bestFit="1" customWidth="1"/>
    <col min="4" max="4" width="10" style="11" bestFit="1" customWidth="1"/>
    <col min="5" max="5" width="10.140625" style="11" bestFit="1" customWidth="1"/>
    <col min="6" max="6" width="14.140625" style="11" bestFit="1" customWidth="1"/>
    <col min="7" max="7" width="11.140625" style="11" bestFit="1" customWidth="1"/>
    <col min="8" max="8" width="9.7109375" style="11" customWidth="1"/>
    <col min="9" max="9" width="20.5703125" style="11" bestFit="1" customWidth="1"/>
    <col min="10" max="10" width="15.140625" style="11" customWidth="1"/>
    <col min="11" max="11" width="19.7109375" style="11" customWidth="1"/>
    <col min="12" max="12" width="18.7109375" style="11" bestFit="1" customWidth="1"/>
    <col min="13" max="16384" width="9.140625" style="11"/>
  </cols>
  <sheetData>
    <row r="2" spans="2:12" x14ac:dyDescent="0.25">
      <c r="B2" s="110" t="s">
        <v>151</v>
      </c>
      <c r="C2" s="110"/>
      <c r="D2" s="110" t="s">
        <v>150</v>
      </c>
      <c r="E2" s="110" t="s">
        <v>149</v>
      </c>
      <c r="F2" s="110" t="s">
        <v>148</v>
      </c>
      <c r="G2" s="110" t="s">
        <v>147</v>
      </c>
      <c r="H2" s="111"/>
      <c r="I2" s="110" t="s">
        <v>589</v>
      </c>
      <c r="J2" s="111"/>
      <c r="K2" s="111"/>
      <c r="L2" s="111"/>
    </row>
    <row r="3" spans="2:12" x14ac:dyDescent="0.25">
      <c r="B3" s="112">
        <v>632</v>
      </c>
      <c r="C3" s="113" t="s">
        <v>48</v>
      </c>
      <c r="D3" s="114">
        <v>188</v>
      </c>
      <c r="E3" s="114">
        <v>18.100000000000001</v>
      </c>
      <c r="F3" s="115">
        <f>E3*0.96</f>
        <v>17.376000000000001</v>
      </c>
      <c r="G3" s="114">
        <v>50</v>
      </c>
      <c r="H3" s="111"/>
      <c r="I3" s="116">
        <v>1241</v>
      </c>
      <c r="J3" s="111"/>
      <c r="K3" s="111"/>
      <c r="L3" s="111"/>
    </row>
    <row r="4" spans="2:12" x14ac:dyDescent="0.25">
      <c r="B4" s="112">
        <v>633</v>
      </c>
      <c r="C4" s="113" t="s">
        <v>46</v>
      </c>
      <c r="D4" s="114">
        <v>424</v>
      </c>
      <c r="E4" s="114">
        <v>25</v>
      </c>
      <c r="F4" s="115">
        <f>E4*0.96</f>
        <v>24</v>
      </c>
      <c r="G4" s="114">
        <v>50</v>
      </c>
      <c r="H4" s="111"/>
      <c r="I4" s="117"/>
      <c r="J4" s="111"/>
      <c r="K4" s="111"/>
      <c r="L4" s="111"/>
    </row>
    <row r="5" spans="2:12" x14ac:dyDescent="0.25">
      <c r="B5" s="112">
        <v>634</v>
      </c>
      <c r="C5" s="113" t="s">
        <v>44</v>
      </c>
      <c r="D5" s="114">
        <v>1320</v>
      </c>
      <c r="E5" s="114">
        <v>12</v>
      </c>
      <c r="F5" s="115">
        <f>E5*0.96</f>
        <v>11.52</v>
      </c>
      <c r="G5" s="114">
        <v>10</v>
      </c>
      <c r="H5" s="111"/>
      <c r="I5" s="110" t="s">
        <v>154</v>
      </c>
      <c r="J5" s="111"/>
      <c r="K5" s="111"/>
      <c r="L5" s="111"/>
    </row>
    <row r="6" spans="2:12" x14ac:dyDescent="0.25">
      <c r="B6" s="111"/>
      <c r="C6" s="111"/>
      <c r="D6" s="111"/>
      <c r="E6" s="111"/>
      <c r="F6" s="111"/>
      <c r="G6" s="111"/>
      <c r="H6" s="111"/>
      <c r="I6" s="114">
        <v>167.7</v>
      </c>
      <c r="J6" s="111"/>
      <c r="K6" s="111"/>
      <c r="L6" s="111"/>
    </row>
    <row r="7" spans="2:12" x14ac:dyDescent="0.25">
      <c r="B7" s="111"/>
      <c r="C7" s="111"/>
      <c r="D7" s="111"/>
      <c r="E7" s="111"/>
      <c r="F7" s="111"/>
      <c r="G7" s="111"/>
      <c r="H7" s="111"/>
      <c r="I7" s="117"/>
      <c r="J7" s="111"/>
      <c r="K7" s="111"/>
      <c r="L7" s="111"/>
    </row>
    <row r="8" spans="2:12" x14ac:dyDescent="0.25">
      <c r="B8" s="111"/>
      <c r="C8" s="111"/>
      <c r="D8" s="111"/>
      <c r="E8" s="111"/>
      <c r="F8" s="111"/>
      <c r="G8" s="111"/>
      <c r="H8" s="111"/>
      <c r="I8" s="110" t="s">
        <v>153</v>
      </c>
      <c r="J8" s="111"/>
      <c r="K8" s="111"/>
      <c r="L8" s="111"/>
    </row>
    <row r="9" spans="2:12" x14ac:dyDescent="0.25">
      <c r="B9" s="111"/>
      <c r="C9" s="111"/>
      <c r="D9" s="111"/>
      <c r="E9" s="111"/>
      <c r="F9" s="111"/>
      <c r="G9" s="111"/>
      <c r="H9" s="111"/>
      <c r="I9" s="114">
        <v>2290</v>
      </c>
      <c r="J9" s="111"/>
      <c r="K9" s="111"/>
      <c r="L9" s="111"/>
    </row>
    <row r="10" spans="2:12" x14ac:dyDescent="0.25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</row>
    <row r="11" spans="2:12" x14ac:dyDescent="0.25"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</row>
    <row r="12" spans="2:12" x14ac:dyDescent="0.25">
      <c r="B12" s="111"/>
      <c r="C12" s="111"/>
      <c r="D12" s="111"/>
      <c r="E12" s="111"/>
      <c r="F12" s="111"/>
      <c r="G12" s="111"/>
      <c r="H12" s="111"/>
      <c r="I12" s="111"/>
      <c r="J12" s="222" t="s">
        <v>152</v>
      </c>
      <c r="K12" s="222"/>
      <c r="L12" s="222"/>
    </row>
    <row r="13" spans="2:12" x14ac:dyDescent="0.25">
      <c r="B13" s="110" t="s">
        <v>151</v>
      </c>
      <c r="C13" s="110"/>
      <c r="D13" s="110" t="s">
        <v>150</v>
      </c>
      <c r="E13" s="118" t="s">
        <v>149</v>
      </c>
      <c r="F13" s="118" t="s">
        <v>148</v>
      </c>
      <c r="G13" s="118" t="s">
        <v>147</v>
      </c>
      <c r="H13" s="110"/>
      <c r="I13" s="118" t="s">
        <v>146</v>
      </c>
      <c r="J13" s="118" t="s">
        <v>145</v>
      </c>
      <c r="K13" s="118" t="s">
        <v>144</v>
      </c>
      <c r="L13" s="118" t="s">
        <v>143</v>
      </c>
    </row>
    <row r="14" spans="2:12" x14ac:dyDescent="0.25">
      <c r="B14" s="112">
        <v>632</v>
      </c>
      <c r="C14" s="119" t="s">
        <v>48</v>
      </c>
      <c r="D14" s="120"/>
      <c r="E14" s="120"/>
      <c r="F14" s="121"/>
      <c r="G14" s="121"/>
      <c r="H14" s="159">
        <v>1.0114749391753737</v>
      </c>
      <c r="I14" s="123">
        <f>ROUND(H14,0)</f>
        <v>1</v>
      </c>
      <c r="J14" s="121"/>
      <c r="K14" s="121"/>
      <c r="L14" s="121"/>
    </row>
    <row r="15" spans="2:12" x14ac:dyDescent="0.25">
      <c r="B15" s="112">
        <v>633</v>
      </c>
      <c r="C15" s="119" t="s">
        <v>46</v>
      </c>
      <c r="D15" s="124">
        <f t="array" ref="D15">SUM(D3:D5*$H$14:$H$16)</f>
        <v>18841.291914354613</v>
      </c>
      <c r="E15" s="124">
        <f t="array" ref="E15">SUM(E3:E5*$H$14:$H$16)</f>
        <v>1118.0208229196901</v>
      </c>
      <c r="F15" s="125">
        <f t="array" ref="F15">SUM(F3:F5*$H$14:$H$16)</f>
        <v>1073.2999900029024</v>
      </c>
      <c r="G15" s="126">
        <f t="array" ref="G15">SUM(G3:G5*$H$14:$H$16)</f>
        <v>2250.0000000000005</v>
      </c>
      <c r="H15" s="159">
        <v>43.988525060824628</v>
      </c>
      <c r="I15" s="123">
        <f t="shared" ref="I15:I16" si="0">ROUND(H15,0)</f>
        <v>44</v>
      </c>
      <c r="J15" s="126">
        <f>I14*50+I15*50+I16*10</f>
        <v>2250</v>
      </c>
      <c r="K15" s="125">
        <f>I14*18.1+I15*25+I16*12+I6</f>
        <v>1285.8</v>
      </c>
      <c r="L15" s="125">
        <f>I14*F3+I15*F4+I16*F5+I6</f>
        <v>1241.076</v>
      </c>
    </row>
    <row r="16" spans="2:12" x14ac:dyDescent="0.25">
      <c r="B16" s="112">
        <v>634</v>
      </c>
      <c r="C16" s="119" t="s">
        <v>44</v>
      </c>
      <c r="D16" s="127"/>
      <c r="E16" s="127"/>
      <c r="F16" s="128"/>
      <c r="G16" s="128"/>
      <c r="H16" s="159">
        <v>0</v>
      </c>
      <c r="I16" s="123">
        <f t="shared" si="0"/>
        <v>0</v>
      </c>
      <c r="J16" s="128"/>
      <c r="K16" s="128"/>
      <c r="L16" s="128"/>
    </row>
  </sheetData>
  <mergeCells count="1">
    <mergeCell ref="J12:L1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B2:AD54"/>
  <sheetViews>
    <sheetView showGridLines="0" topLeftCell="A19" workbookViewId="0">
      <selection activeCell="I9" sqref="I9"/>
    </sheetView>
  </sheetViews>
  <sheetFormatPr defaultRowHeight="15" x14ac:dyDescent="0.25"/>
  <cols>
    <col min="1" max="1" width="9.140625" style="11"/>
    <col min="2" max="2" width="5.85546875" style="11" customWidth="1"/>
    <col min="3" max="3" width="32.42578125" style="11" bestFit="1" customWidth="1"/>
    <col min="4" max="4" width="10" style="11" bestFit="1" customWidth="1"/>
    <col min="5" max="5" width="10.140625" style="11" bestFit="1" customWidth="1"/>
    <col min="6" max="6" width="14.140625" style="11" bestFit="1" customWidth="1"/>
    <col min="7" max="7" width="11.140625" style="11" bestFit="1" customWidth="1"/>
    <col min="8" max="8" width="9.7109375" style="11" customWidth="1"/>
    <col min="9" max="9" width="20.5703125" style="11" bestFit="1" customWidth="1"/>
    <col min="10" max="10" width="15.140625" style="11" customWidth="1"/>
    <col min="11" max="11" width="19.7109375" style="11" customWidth="1"/>
    <col min="12" max="12" width="18.7109375" style="11" bestFit="1" customWidth="1"/>
    <col min="13" max="15" width="6.28515625" style="11" bestFit="1" customWidth="1"/>
    <col min="16" max="20" width="6.28515625" style="11" customWidth="1"/>
    <col min="21" max="21" width="6.140625" style="11" customWidth="1"/>
    <col min="22" max="22" width="20.28515625" style="149" bestFit="1" customWidth="1"/>
    <col min="23" max="23" width="4" style="149" bestFit="1" customWidth="1"/>
    <col min="24" max="24" width="11.85546875" style="149" bestFit="1" customWidth="1"/>
    <col min="25" max="25" width="12" style="149" bestFit="1" customWidth="1"/>
    <col min="26" max="26" width="15.140625" style="149" bestFit="1" customWidth="1"/>
    <col min="27" max="27" width="36" style="149" bestFit="1" customWidth="1"/>
    <col min="28" max="28" width="8.5703125" style="149" bestFit="1" customWidth="1"/>
    <col min="29" max="29" width="14.28515625" style="149" bestFit="1" customWidth="1"/>
    <col min="30" max="16384" width="9.140625" style="11"/>
  </cols>
  <sheetData>
    <row r="2" spans="2:12" x14ac:dyDescent="0.25">
      <c r="B2" s="139" t="s">
        <v>151</v>
      </c>
      <c r="C2" s="139"/>
      <c r="D2" s="139" t="s">
        <v>150</v>
      </c>
      <c r="E2" s="139" t="s">
        <v>149</v>
      </c>
      <c r="F2" s="139" t="s">
        <v>148</v>
      </c>
      <c r="G2" s="139" t="s">
        <v>147</v>
      </c>
      <c r="H2" s="111"/>
      <c r="I2" s="139" t="s">
        <v>589</v>
      </c>
      <c r="J2" s="111"/>
      <c r="K2" s="111"/>
      <c r="L2" s="111"/>
    </row>
    <row r="3" spans="2:12" x14ac:dyDescent="0.25">
      <c r="B3" s="112">
        <v>635</v>
      </c>
      <c r="C3" s="119" t="s">
        <v>290</v>
      </c>
      <c r="D3" s="114">
        <f>2.16*80</f>
        <v>172.8</v>
      </c>
      <c r="E3" s="114">
        <v>15</v>
      </c>
      <c r="F3" s="115">
        <f>E3*0.96</f>
        <v>14.399999999999999</v>
      </c>
      <c r="G3" s="114">
        <v>60</v>
      </c>
      <c r="H3" s="111"/>
      <c r="I3" s="116">
        <v>710</v>
      </c>
      <c r="J3" s="111"/>
      <c r="K3" s="111"/>
      <c r="L3" s="111"/>
    </row>
    <row r="4" spans="2:12" x14ac:dyDescent="0.25">
      <c r="B4" s="112">
        <v>636</v>
      </c>
      <c r="C4" s="119" t="s">
        <v>287</v>
      </c>
      <c r="D4" s="114">
        <f>7.46*80</f>
        <v>596.79999999999995</v>
      </c>
      <c r="E4" s="114">
        <v>25.5</v>
      </c>
      <c r="F4" s="115">
        <f>E4*0.96</f>
        <v>24.48</v>
      </c>
      <c r="G4" s="114">
        <v>60</v>
      </c>
      <c r="H4" s="111"/>
      <c r="I4" s="117"/>
      <c r="J4" s="111"/>
      <c r="K4" s="111"/>
      <c r="L4" s="111"/>
    </row>
    <row r="5" spans="2:12" x14ac:dyDescent="0.25">
      <c r="B5" s="112">
        <v>637</v>
      </c>
      <c r="C5" s="119" t="s">
        <v>284</v>
      </c>
      <c r="D5" s="114">
        <f>7.39*80</f>
        <v>591.19999999999993</v>
      </c>
      <c r="E5" s="114">
        <v>8.5</v>
      </c>
      <c r="F5" s="115">
        <f>E5*0.96</f>
        <v>8.16</v>
      </c>
      <c r="G5" s="114">
        <v>10</v>
      </c>
      <c r="H5" s="111"/>
      <c r="I5" s="139" t="s">
        <v>154</v>
      </c>
      <c r="J5" s="111"/>
      <c r="K5" s="111"/>
      <c r="L5" s="111"/>
    </row>
    <row r="6" spans="2:12" x14ac:dyDescent="0.25">
      <c r="B6" s="111"/>
      <c r="C6" s="111"/>
      <c r="D6" s="111"/>
      <c r="E6" s="111"/>
      <c r="F6" s="111"/>
      <c r="G6" s="111"/>
      <c r="H6" s="111"/>
      <c r="I6" s="114">
        <v>145</v>
      </c>
      <c r="J6" s="111"/>
      <c r="K6" s="111"/>
      <c r="L6" s="111"/>
    </row>
    <row r="7" spans="2:12" x14ac:dyDescent="0.25">
      <c r="B7" s="111"/>
      <c r="C7" s="111"/>
      <c r="D7" s="111"/>
      <c r="E7" s="111"/>
      <c r="F7" s="111"/>
      <c r="G7" s="111"/>
      <c r="H7" s="111"/>
      <c r="I7" s="117"/>
      <c r="J7" s="111"/>
      <c r="K7" s="111"/>
      <c r="L7" s="111"/>
    </row>
    <row r="8" spans="2:12" x14ac:dyDescent="0.25">
      <c r="B8" s="111"/>
      <c r="C8" s="111"/>
      <c r="D8" s="111"/>
      <c r="E8" s="111"/>
      <c r="F8" s="111"/>
      <c r="G8" s="111"/>
      <c r="H8" s="111"/>
      <c r="I8" s="139" t="s">
        <v>153</v>
      </c>
      <c r="J8" s="111"/>
      <c r="K8" s="111"/>
      <c r="L8" s="111"/>
    </row>
    <row r="9" spans="2:12" x14ac:dyDescent="0.25">
      <c r="B9" s="111"/>
      <c r="C9" s="111"/>
      <c r="D9" s="111"/>
      <c r="E9" s="111"/>
      <c r="F9" s="111"/>
      <c r="G9" s="111"/>
      <c r="H9" s="111"/>
      <c r="I9" s="114">
        <v>2320</v>
      </c>
      <c r="J9" s="111"/>
      <c r="K9" s="111"/>
      <c r="L9" s="111"/>
    </row>
    <row r="10" spans="2:12" x14ac:dyDescent="0.25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</row>
    <row r="11" spans="2:12" x14ac:dyDescent="0.25"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</row>
    <row r="12" spans="2:12" x14ac:dyDescent="0.25">
      <c r="B12" s="111"/>
      <c r="C12" s="111"/>
      <c r="D12" s="111"/>
      <c r="E12" s="111"/>
      <c r="F12" s="111"/>
      <c r="G12" s="111"/>
      <c r="H12" s="111"/>
      <c r="I12" s="111"/>
      <c r="J12" s="222" t="s">
        <v>152</v>
      </c>
      <c r="K12" s="222"/>
      <c r="L12" s="222"/>
    </row>
    <row r="13" spans="2:12" x14ac:dyDescent="0.25">
      <c r="B13" s="139" t="s">
        <v>151</v>
      </c>
      <c r="C13" s="139"/>
      <c r="D13" s="139" t="s">
        <v>150</v>
      </c>
      <c r="E13" s="118" t="s">
        <v>149</v>
      </c>
      <c r="F13" s="118" t="s">
        <v>148</v>
      </c>
      <c r="G13" s="118" t="s">
        <v>147</v>
      </c>
      <c r="H13" s="139"/>
      <c r="I13" s="118" t="s">
        <v>146</v>
      </c>
      <c r="J13" s="118" t="s">
        <v>145</v>
      </c>
      <c r="K13" s="118" t="s">
        <v>144</v>
      </c>
      <c r="L13" s="118" t="s">
        <v>143</v>
      </c>
    </row>
    <row r="14" spans="2:12" x14ac:dyDescent="0.25">
      <c r="B14" s="112">
        <v>635</v>
      </c>
      <c r="C14" s="119" t="s">
        <v>290</v>
      </c>
      <c r="D14" s="120"/>
      <c r="E14" s="120"/>
      <c r="F14" s="121"/>
      <c r="G14" s="121"/>
      <c r="H14" s="122">
        <v>37.666666599999999</v>
      </c>
      <c r="I14" s="123">
        <f>ROUNDUP(H14,0)</f>
        <v>38</v>
      </c>
      <c r="J14" s="121"/>
      <c r="K14" s="121"/>
      <c r="L14" s="121"/>
    </row>
    <row r="15" spans="2:12" x14ac:dyDescent="0.25">
      <c r="B15" s="112">
        <v>636</v>
      </c>
      <c r="C15" s="119" t="s">
        <v>287</v>
      </c>
      <c r="D15" s="124">
        <f t="array" ref="D15">SUM(D3:D5*$H$14:$H$16)</f>
        <v>6508.7999884800001</v>
      </c>
      <c r="E15" s="124">
        <f t="array" ref="E15">SUM(E3:E5*$H$14:$H$16)</f>
        <v>564.999999</v>
      </c>
      <c r="F15" s="125">
        <f t="array" ref="F15">SUM(E3:E5*$H$14:$H$16)</f>
        <v>564.999999</v>
      </c>
      <c r="G15" s="126">
        <f t="array" ref="G15">SUM(G3:G5*$H$14:$H$16)</f>
        <v>2259.999996</v>
      </c>
      <c r="H15" s="122">
        <v>0</v>
      </c>
      <c r="I15" s="123">
        <f>ROUNDUP(H15,0)</f>
        <v>0</v>
      </c>
      <c r="J15" s="126">
        <f t="array" ref="J15">SUM(I14:I16*G3:G5)</f>
        <v>2280</v>
      </c>
      <c r="K15" s="125">
        <f t="array" ref="K15">SUM(I14:I16*E3:E5,I6)</f>
        <v>715</v>
      </c>
      <c r="L15" s="125">
        <f t="array" ref="L15">SUM(I14:I16*F3:F5,I6)</f>
        <v>692.19999999999993</v>
      </c>
    </row>
    <row r="16" spans="2:12" x14ac:dyDescent="0.25">
      <c r="B16" s="112">
        <v>637</v>
      </c>
      <c r="C16" s="119" t="s">
        <v>284</v>
      </c>
      <c r="D16" s="127"/>
      <c r="E16" s="127"/>
      <c r="F16" s="128"/>
      <c r="G16" s="128"/>
      <c r="H16" s="122">
        <v>0</v>
      </c>
      <c r="I16" s="123">
        <f>ROUNDUP(H16,0)</f>
        <v>0</v>
      </c>
      <c r="J16" s="128"/>
      <c r="K16" s="128"/>
      <c r="L16" s="128"/>
    </row>
    <row r="20" spans="2:30" x14ac:dyDescent="0.25">
      <c r="B20" s="148"/>
      <c r="M20" s="223" t="s">
        <v>654</v>
      </c>
      <c r="N20" s="224"/>
      <c r="O20" s="224"/>
      <c r="P20" s="225"/>
      <c r="Q20" s="226" t="s">
        <v>656</v>
      </c>
      <c r="R20" s="226"/>
      <c r="S20" s="226"/>
      <c r="T20" s="226"/>
    </row>
    <row r="21" spans="2:30" ht="25.5" x14ac:dyDescent="0.25">
      <c r="B21" s="140" t="s">
        <v>85</v>
      </c>
      <c r="C21" s="140" t="s">
        <v>9</v>
      </c>
      <c r="D21" s="140" t="s">
        <v>316</v>
      </c>
      <c r="E21" s="140" t="s">
        <v>83</v>
      </c>
      <c r="F21" s="140" t="s">
        <v>315</v>
      </c>
      <c r="G21" s="140" t="s">
        <v>314</v>
      </c>
      <c r="H21" s="140" t="s">
        <v>313</v>
      </c>
      <c r="I21" s="140" t="s">
        <v>312</v>
      </c>
      <c r="J21" s="140" t="s">
        <v>311</v>
      </c>
      <c r="K21" s="141" t="s">
        <v>310</v>
      </c>
      <c r="L21" s="141" t="s">
        <v>309</v>
      </c>
      <c r="M21" s="140" t="s">
        <v>292</v>
      </c>
      <c r="N21" s="140" t="s">
        <v>289</v>
      </c>
      <c r="O21" s="140" t="s">
        <v>286</v>
      </c>
      <c r="P21" s="140" t="s">
        <v>657</v>
      </c>
      <c r="Q21" s="140" t="s">
        <v>292</v>
      </c>
      <c r="R21" s="140" t="s">
        <v>289</v>
      </c>
      <c r="S21" s="140" t="s">
        <v>286</v>
      </c>
      <c r="T21" s="140" t="s">
        <v>657</v>
      </c>
      <c r="V21" s="140" t="s">
        <v>308</v>
      </c>
      <c r="W21" s="140" t="s">
        <v>279</v>
      </c>
      <c r="X21" s="140" t="s">
        <v>278</v>
      </c>
      <c r="Y21" s="140" t="s">
        <v>277</v>
      </c>
      <c r="Z21" s="140" t="s">
        <v>307</v>
      </c>
      <c r="AA21" s="140" t="s">
        <v>275</v>
      </c>
      <c r="AB21" s="140" t="s">
        <v>306</v>
      </c>
      <c r="AC21" s="140" t="s">
        <v>655</v>
      </c>
      <c r="AD21" s="10"/>
    </row>
    <row r="22" spans="2:30" x14ac:dyDescent="0.25"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V22" s="143" t="s">
        <v>305</v>
      </c>
      <c r="W22" s="143">
        <v>504</v>
      </c>
      <c r="X22" s="143" t="s">
        <v>304</v>
      </c>
      <c r="Y22" s="143">
        <v>40451503003</v>
      </c>
      <c r="Z22" s="143" t="s">
        <v>303</v>
      </c>
      <c r="AA22" s="143" t="s">
        <v>302</v>
      </c>
      <c r="AB22" s="145">
        <v>145</v>
      </c>
      <c r="AC22" s="145">
        <v>2320</v>
      </c>
      <c r="AD22" s="10">
        <v>400</v>
      </c>
    </row>
    <row r="23" spans="2:30" x14ac:dyDescent="0.25">
      <c r="B23" s="143">
        <v>1</v>
      </c>
      <c r="C23" s="143">
        <v>400</v>
      </c>
      <c r="D23" s="143" t="s">
        <v>282</v>
      </c>
      <c r="E23" s="143">
        <v>1</v>
      </c>
      <c r="F23" s="143">
        <v>3</v>
      </c>
      <c r="G23" s="143">
        <v>666</v>
      </c>
      <c r="H23" s="143">
        <v>674</v>
      </c>
      <c r="I23" s="143">
        <v>710</v>
      </c>
      <c r="J23" s="143">
        <f t="shared" ref="J23:J54" si="0">I23-G23</f>
        <v>44</v>
      </c>
      <c r="K23" s="144">
        <v>145</v>
      </c>
      <c r="L23" s="145">
        <f t="shared" ref="L23:L54" si="1">I23-K23</f>
        <v>565</v>
      </c>
      <c r="M23" s="145">
        <v>36</v>
      </c>
      <c r="N23" s="145">
        <v>2</v>
      </c>
      <c r="O23" s="145">
        <v>0</v>
      </c>
      <c r="P23" s="145">
        <f>$D$3*M23+$D$4*N23+$D$5*O23</f>
        <v>7414.4</v>
      </c>
      <c r="Q23" s="145">
        <v>38</v>
      </c>
      <c r="R23" s="145">
        <v>0</v>
      </c>
      <c r="S23" s="145">
        <v>0</v>
      </c>
      <c r="T23" s="145">
        <f>$D$3*Q23+$D$4*R23+$D$5*S23</f>
        <v>6566.4000000000005</v>
      </c>
      <c r="V23" s="146" t="s">
        <v>301</v>
      </c>
      <c r="W23" s="143">
        <v>506</v>
      </c>
      <c r="X23" s="143" t="s">
        <v>300</v>
      </c>
      <c r="Y23" s="143">
        <v>40451503004</v>
      </c>
      <c r="Z23" s="143" t="s">
        <v>299</v>
      </c>
      <c r="AA23" s="143" t="s">
        <v>298</v>
      </c>
      <c r="AB23" s="145">
        <v>175</v>
      </c>
      <c r="AC23" s="145">
        <v>3120</v>
      </c>
      <c r="AD23" s="10" t="s">
        <v>297</v>
      </c>
    </row>
    <row r="24" spans="2:30" x14ac:dyDescent="0.25">
      <c r="B24" s="143">
        <v>2</v>
      </c>
      <c r="C24" s="143">
        <v>400</v>
      </c>
      <c r="D24" s="143" t="s">
        <v>282</v>
      </c>
      <c r="E24" s="143">
        <v>1.6</v>
      </c>
      <c r="F24" s="143">
        <v>3</v>
      </c>
      <c r="G24" s="143">
        <v>702</v>
      </c>
      <c r="H24" s="143">
        <v>710</v>
      </c>
      <c r="I24" s="143">
        <v>710</v>
      </c>
      <c r="J24" s="143">
        <f t="shared" si="0"/>
        <v>8</v>
      </c>
      <c r="K24" s="144">
        <v>145</v>
      </c>
      <c r="L24" s="145">
        <f t="shared" si="1"/>
        <v>565</v>
      </c>
      <c r="M24" s="145">
        <v>36</v>
      </c>
      <c r="N24" s="145">
        <v>2</v>
      </c>
      <c r="O24" s="145">
        <v>0</v>
      </c>
      <c r="P24" s="145"/>
      <c r="Q24" s="145">
        <v>38</v>
      </c>
      <c r="R24" s="145">
        <v>0</v>
      </c>
      <c r="S24" s="145">
        <v>0</v>
      </c>
      <c r="T24" s="145"/>
      <c r="V24" s="145" t="s">
        <v>49</v>
      </c>
      <c r="W24" s="143">
        <v>632</v>
      </c>
      <c r="X24" s="145" t="s">
        <v>296</v>
      </c>
      <c r="Y24" s="145">
        <v>46451503113</v>
      </c>
      <c r="Z24" s="145" t="s">
        <v>280</v>
      </c>
      <c r="AA24" s="145" t="s">
        <v>48</v>
      </c>
      <c r="AB24" s="145">
        <v>18.100000000000001</v>
      </c>
      <c r="AC24" s="145" t="s">
        <v>280</v>
      </c>
      <c r="AD24" s="10" t="s">
        <v>293</v>
      </c>
    </row>
    <row r="25" spans="2:30" x14ac:dyDescent="0.25">
      <c r="B25" s="143">
        <v>3</v>
      </c>
      <c r="C25" s="143">
        <v>630</v>
      </c>
      <c r="D25" s="143" t="s">
        <v>282</v>
      </c>
      <c r="E25" s="143">
        <v>1</v>
      </c>
      <c r="F25" s="143">
        <v>3</v>
      </c>
      <c r="G25" s="143">
        <v>930</v>
      </c>
      <c r="H25" s="143">
        <v>952</v>
      </c>
      <c r="I25" s="143">
        <v>952</v>
      </c>
      <c r="J25" s="143">
        <f t="shared" si="0"/>
        <v>22</v>
      </c>
      <c r="K25" s="145">
        <v>175</v>
      </c>
      <c r="L25" s="145">
        <f t="shared" si="1"/>
        <v>777</v>
      </c>
      <c r="M25" s="145">
        <v>46</v>
      </c>
      <c r="N25" s="145">
        <v>5</v>
      </c>
      <c r="O25" s="145">
        <v>0</v>
      </c>
      <c r="P25" s="145"/>
      <c r="Q25" s="145"/>
      <c r="R25" s="145"/>
      <c r="S25" s="145"/>
      <c r="T25" s="145"/>
      <c r="V25" s="145" t="s">
        <v>47</v>
      </c>
      <c r="W25" s="143">
        <v>633</v>
      </c>
      <c r="X25" s="145" t="s">
        <v>295</v>
      </c>
      <c r="Y25" s="145">
        <v>46451503114</v>
      </c>
      <c r="Z25" s="145" t="s">
        <v>280</v>
      </c>
      <c r="AA25" s="145" t="s">
        <v>46</v>
      </c>
      <c r="AB25" s="145">
        <v>25</v>
      </c>
      <c r="AC25" s="145" t="s">
        <v>280</v>
      </c>
      <c r="AD25" s="10" t="s">
        <v>293</v>
      </c>
    </row>
    <row r="26" spans="2:30" x14ac:dyDescent="0.25">
      <c r="B26" s="143">
        <v>4</v>
      </c>
      <c r="C26" s="143">
        <v>630</v>
      </c>
      <c r="D26" s="143" t="s">
        <v>282</v>
      </c>
      <c r="E26" s="143">
        <v>1.6</v>
      </c>
      <c r="F26" s="143">
        <v>3</v>
      </c>
      <c r="G26" s="143">
        <v>988</v>
      </c>
      <c r="H26" s="143">
        <v>1009</v>
      </c>
      <c r="I26" s="143">
        <v>1011</v>
      </c>
      <c r="J26" s="143">
        <f t="shared" si="0"/>
        <v>23</v>
      </c>
      <c r="K26" s="145">
        <v>175</v>
      </c>
      <c r="L26" s="145">
        <f t="shared" si="1"/>
        <v>836</v>
      </c>
      <c r="M26" s="145">
        <v>40</v>
      </c>
      <c r="N26" s="145">
        <v>10</v>
      </c>
      <c r="O26" s="145">
        <v>0</v>
      </c>
      <c r="P26" s="145"/>
      <c r="Q26" s="145"/>
      <c r="R26" s="145"/>
      <c r="S26" s="145"/>
      <c r="T26" s="145"/>
      <c r="V26" s="145" t="s">
        <v>45</v>
      </c>
      <c r="W26" s="143">
        <v>634</v>
      </c>
      <c r="X26" s="145" t="s">
        <v>294</v>
      </c>
      <c r="Y26" s="145">
        <v>46451503115</v>
      </c>
      <c r="Z26" s="145" t="s">
        <v>280</v>
      </c>
      <c r="AA26" s="145" t="s">
        <v>44</v>
      </c>
      <c r="AB26" s="145">
        <v>12</v>
      </c>
      <c r="AC26" s="145" t="s">
        <v>280</v>
      </c>
      <c r="AD26" s="10" t="s">
        <v>293</v>
      </c>
    </row>
    <row r="27" spans="2:30" x14ac:dyDescent="0.25">
      <c r="B27" s="145">
        <v>5</v>
      </c>
      <c r="C27" s="145" t="s">
        <v>7</v>
      </c>
      <c r="D27" s="145" t="s">
        <v>282</v>
      </c>
      <c r="E27" s="145">
        <v>1</v>
      </c>
      <c r="F27" s="145">
        <v>3</v>
      </c>
      <c r="G27" s="145">
        <v>1168</v>
      </c>
      <c r="H27" s="145">
        <v>1205</v>
      </c>
      <c r="I27" s="145">
        <v>1205</v>
      </c>
      <c r="J27" s="143">
        <f t="shared" si="0"/>
        <v>37</v>
      </c>
      <c r="K27" s="145">
        <v>175</v>
      </c>
      <c r="L27" s="145">
        <f t="shared" si="1"/>
        <v>1030</v>
      </c>
      <c r="M27" s="145">
        <v>21</v>
      </c>
      <c r="N27" s="145">
        <v>30</v>
      </c>
      <c r="O27" s="145">
        <v>0</v>
      </c>
      <c r="P27" s="145"/>
      <c r="Q27" s="145"/>
      <c r="R27" s="145"/>
      <c r="S27" s="145"/>
      <c r="T27" s="145"/>
      <c r="V27" s="145" t="s">
        <v>292</v>
      </c>
      <c r="W27" s="143">
        <v>635</v>
      </c>
      <c r="X27" s="145" t="s">
        <v>291</v>
      </c>
      <c r="Y27" s="145">
        <v>46451503116</v>
      </c>
      <c r="Z27" s="145" t="s">
        <v>280</v>
      </c>
      <c r="AA27" s="145" t="s">
        <v>290</v>
      </c>
      <c r="AB27" s="145">
        <v>15</v>
      </c>
      <c r="AC27" s="145" t="s">
        <v>280</v>
      </c>
      <c r="AD27" s="10" t="s">
        <v>283</v>
      </c>
    </row>
    <row r="28" spans="2:30" x14ac:dyDescent="0.25">
      <c r="B28" s="143">
        <v>6</v>
      </c>
      <c r="C28" s="145" t="s">
        <v>7</v>
      </c>
      <c r="D28" s="145" t="s">
        <v>282</v>
      </c>
      <c r="E28" s="145">
        <v>1.6</v>
      </c>
      <c r="F28" s="145">
        <v>3</v>
      </c>
      <c r="G28" s="145">
        <v>1258</v>
      </c>
      <c r="H28" s="145">
        <v>1295</v>
      </c>
      <c r="I28" s="145">
        <v>1295</v>
      </c>
      <c r="J28" s="143">
        <f t="shared" si="0"/>
        <v>37</v>
      </c>
      <c r="K28" s="145">
        <v>175</v>
      </c>
      <c r="L28" s="145">
        <f t="shared" si="1"/>
        <v>1120</v>
      </c>
      <c r="M28" s="145">
        <v>12</v>
      </c>
      <c r="N28" s="145">
        <v>39</v>
      </c>
      <c r="O28" s="145">
        <v>0</v>
      </c>
      <c r="P28" s="145"/>
      <c r="Q28" s="145"/>
      <c r="R28" s="145"/>
      <c r="S28" s="145"/>
      <c r="T28" s="145"/>
      <c r="V28" s="145" t="s">
        <v>289</v>
      </c>
      <c r="W28" s="143">
        <v>636</v>
      </c>
      <c r="X28" s="145" t="s">
        <v>288</v>
      </c>
      <c r="Y28" s="145">
        <v>46451503117</v>
      </c>
      <c r="Z28" s="145" t="s">
        <v>280</v>
      </c>
      <c r="AA28" s="145" t="s">
        <v>287</v>
      </c>
      <c r="AB28" s="145">
        <v>25.5</v>
      </c>
      <c r="AC28" s="145" t="s">
        <v>280</v>
      </c>
      <c r="AD28" s="10" t="s">
        <v>283</v>
      </c>
    </row>
    <row r="29" spans="2:30" x14ac:dyDescent="0.25">
      <c r="B29" s="143">
        <v>7</v>
      </c>
      <c r="C29" s="145" t="s">
        <v>6</v>
      </c>
      <c r="D29" s="145" t="s">
        <v>282</v>
      </c>
      <c r="E29" s="145">
        <v>1</v>
      </c>
      <c r="F29" s="145">
        <v>3</v>
      </c>
      <c r="G29" s="145">
        <v>1250</v>
      </c>
      <c r="H29" s="145">
        <v>1273</v>
      </c>
      <c r="I29" s="145">
        <v>1295</v>
      </c>
      <c r="J29" s="143">
        <f t="shared" si="0"/>
        <v>45</v>
      </c>
      <c r="K29" s="145">
        <v>175</v>
      </c>
      <c r="L29" s="145">
        <f t="shared" si="1"/>
        <v>1120</v>
      </c>
      <c r="M29" s="145">
        <v>12</v>
      </c>
      <c r="N29" s="145">
        <v>39</v>
      </c>
      <c r="O29" s="145">
        <v>0</v>
      </c>
      <c r="P29" s="145"/>
      <c r="Q29" s="145"/>
      <c r="R29" s="145"/>
      <c r="S29" s="145"/>
      <c r="T29" s="145"/>
      <c r="V29" s="145" t="s">
        <v>286</v>
      </c>
      <c r="W29" s="143">
        <v>637</v>
      </c>
      <c r="X29" s="145" t="s">
        <v>285</v>
      </c>
      <c r="Y29" s="145">
        <v>46451503118</v>
      </c>
      <c r="Z29" s="145" t="s">
        <v>280</v>
      </c>
      <c r="AA29" s="145" t="s">
        <v>284</v>
      </c>
      <c r="AB29" s="145">
        <v>8.5</v>
      </c>
      <c r="AC29" s="145" t="s">
        <v>280</v>
      </c>
      <c r="AD29" s="10" t="s">
        <v>283</v>
      </c>
    </row>
    <row r="30" spans="2:30" x14ac:dyDescent="0.25">
      <c r="B30" s="143">
        <v>8</v>
      </c>
      <c r="C30" s="145" t="s">
        <v>6</v>
      </c>
      <c r="D30" s="145" t="s">
        <v>282</v>
      </c>
      <c r="E30" s="145">
        <v>1.6</v>
      </c>
      <c r="F30" s="145">
        <v>3</v>
      </c>
      <c r="G30" s="145">
        <v>1340</v>
      </c>
      <c r="H30" s="145">
        <v>1363</v>
      </c>
      <c r="I30" s="145">
        <v>1363</v>
      </c>
      <c r="J30" s="143">
        <f t="shared" si="0"/>
        <v>23</v>
      </c>
      <c r="K30" s="145">
        <v>175</v>
      </c>
      <c r="L30" s="145">
        <f t="shared" si="1"/>
        <v>1188</v>
      </c>
      <c r="M30" s="145">
        <v>6</v>
      </c>
      <c r="N30" s="145">
        <v>45</v>
      </c>
      <c r="O30" s="145">
        <v>0</v>
      </c>
      <c r="P30" s="145"/>
      <c r="Q30" s="145"/>
      <c r="R30" s="145"/>
      <c r="S30" s="145"/>
      <c r="T30" s="145"/>
    </row>
    <row r="31" spans="2:30" x14ac:dyDescent="0.25">
      <c r="B31" s="143">
        <v>9</v>
      </c>
      <c r="C31" s="143">
        <v>400</v>
      </c>
      <c r="D31" s="143" t="s">
        <v>282</v>
      </c>
      <c r="E31" s="143">
        <v>1</v>
      </c>
      <c r="F31" s="143">
        <v>25</v>
      </c>
      <c r="G31" s="143">
        <v>736</v>
      </c>
      <c r="H31" s="143">
        <v>744</v>
      </c>
      <c r="I31" s="143">
        <v>780</v>
      </c>
      <c r="J31" s="143">
        <f t="shared" si="0"/>
        <v>44</v>
      </c>
      <c r="K31" s="144">
        <v>145</v>
      </c>
      <c r="L31" s="145">
        <f t="shared" si="1"/>
        <v>635</v>
      </c>
      <c r="M31" s="145">
        <v>29</v>
      </c>
      <c r="N31" s="145">
        <v>9</v>
      </c>
      <c r="O31" s="145">
        <v>0</v>
      </c>
      <c r="P31" s="145"/>
      <c r="Q31" s="145"/>
      <c r="R31" s="145"/>
      <c r="S31" s="145"/>
      <c r="T31" s="145"/>
    </row>
    <row r="32" spans="2:30" x14ac:dyDescent="0.25">
      <c r="B32" s="145">
        <v>10</v>
      </c>
      <c r="C32" s="143">
        <v>400</v>
      </c>
      <c r="D32" s="143" t="s">
        <v>282</v>
      </c>
      <c r="E32" s="143">
        <v>1.6</v>
      </c>
      <c r="F32" s="143">
        <v>25</v>
      </c>
      <c r="G32" s="143">
        <v>772</v>
      </c>
      <c r="H32" s="143">
        <v>780</v>
      </c>
      <c r="I32" s="143">
        <v>780</v>
      </c>
      <c r="J32" s="143">
        <f t="shared" si="0"/>
        <v>8</v>
      </c>
      <c r="K32" s="144">
        <v>145</v>
      </c>
      <c r="L32" s="145">
        <f t="shared" si="1"/>
        <v>635</v>
      </c>
      <c r="M32" s="145">
        <v>29</v>
      </c>
      <c r="N32" s="145">
        <v>9</v>
      </c>
      <c r="O32" s="145">
        <v>0</v>
      </c>
      <c r="P32" s="145"/>
      <c r="Q32" s="145"/>
      <c r="R32" s="145"/>
      <c r="S32" s="145"/>
      <c r="T32" s="145"/>
    </row>
    <row r="33" spans="2:20" x14ac:dyDescent="0.25">
      <c r="B33" s="143">
        <v>11</v>
      </c>
      <c r="C33" s="143">
        <v>630</v>
      </c>
      <c r="D33" s="143" t="s">
        <v>282</v>
      </c>
      <c r="E33" s="143">
        <v>1</v>
      </c>
      <c r="F33" s="143">
        <v>25</v>
      </c>
      <c r="G33" s="143">
        <v>1027</v>
      </c>
      <c r="H33" s="143">
        <v>1049</v>
      </c>
      <c r="I33" s="143">
        <v>1068</v>
      </c>
      <c r="J33" s="143">
        <f t="shared" si="0"/>
        <v>41</v>
      </c>
      <c r="K33" s="145">
        <v>175</v>
      </c>
      <c r="L33" s="145">
        <f t="shared" si="1"/>
        <v>893</v>
      </c>
      <c r="M33" s="145">
        <v>35</v>
      </c>
      <c r="N33" s="145">
        <v>16</v>
      </c>
      <c r="O33" s="145">
        <v>0</v>
      </c>
      <c r="P33" s="145"/>
      <c r="Q33" s="145"/>
      <c r="R33" s="145"/>
      <c r="S33" s="145"/>
      <c r="T33" s="145"/>
    </row>
    <row r="34" spans="2:20" x14ac:dyDescent="0.25">
      <c r="B34" s="143">
        <v>12</v>
      </c>
      <c r="C34" s="143">
        <v>630</v>
      </c>
      <c r="D34" s="143" t="s">
        <v>282</v>
      </c>
      <c r="E34" s="143">
        <v>1.6</v>
      </c>
      <c r="F34" s="143">
        <v>25</v>
      </c>
      <c r="G34" s="143">
        <v>1085</v>
      </c>
      <c r="H34" s="143">
        <v>1106</v>
      </c>
      <c r="I34" s="143">
        <v>1108</v>
      </c>
      <c r="J34" s="143">
        <f t="shared" si="0"/>
        <v>23</v>
      </c>
      <c r="K34" s="145">
        <v>175</v>
      </c>
      <c r="L34" s="145">
        <f t="shared" si="1"/>
        <v>933</v>
      </c>
      <c r="M34" s="145">
        <v>31</v>
      </c>
      <c r="N34" s="145">
        <v>20</v>
      </c>
      <c r="O34" s="145">
        <v>0</v>
      </c>
      <c r="P34" s="145"/>
      <c r="Q34" s="145"/>
      <c r="R34" s="145"/>
      <c r="S34" s="145"/>
      <c r="T34" s="145"/>
    </row>
    <row r="35" spans="2:20" x14ac:dyDescent="0.25">
      <c r="B35" s="143">
        <v>13</v>
      </c>
      <c r="C35" s="145" t="s">
        <v>7</v>
      </c>
      <c r="D35" s="145" t="s">
        <v>282</v>
      </c>
      <c r="E35" s="145">
        <v>1</v>
      </c>
      <c r="F35" s="145">
        <v>25</v>
      </c>
      <c r="G35" s="145">
        <v>1317</v>
      </c>
      <c r="H35" s="145">
        <v>1354</v>
      </c>
      <c r="I35" s="145">
        <v>1363</v>
      </c>
      <c r="J35" s="143">
        <f t="shared" si="0"/>
        <v>46</v>
      </c>
      <c r="K35" s="145">
        <v>175</v>
      </c>
      <c r="L35" s="145">
        <f t="shared" si="1"/>
        <v>1188</v>
      </c>
      <c r="M35" s="145">
        <v>6</v>
      </c>
      <c r="N35" s="145">
        <v>45</v>
      </c>
      <c r="O35" s="145">
        <v>0</v>
      </c>
      <c r="P35" s="145"/>
      <c r="Q35" s="145"/>
      <c r="R35" s="145"/>
      <c r="S35" s="145"/>
      <c r="T35" s="145"/>
    </row>
    <row r="36" spans="2:20" x14ac:dyDescent="0.25">
      <c r="B36" s="143">
        <v>14</v>
      </c>
      <c r="C36" s="145" t="s">
        <v>7</v>
      </c>
      <c r="D36" s="145" t="s">
        <v>282</v>
      </c>
      <c r="E36" s="145">
        <v>1.6</v>
      </c>
      <c r="F36" s="145">
        <v>25</v>
      </c>
      <c r="G36" s="145">
        <v>1407</v>
      </c>
      <c r="H36" s="145">
        <v>1444</v>
      </c>
      <c r="I36" s="145">
        <v>1444</v>
      </c>
      <c r="J36" s="143">
        <f t="shared" si="0"/>
        <v>37</v>
      </c>
      <c r="K36" s="145">
        <v>175</v>
      </c>
      <c r="L36" s="145">
        <f t="shared" si="1"/>
        <v>1269</v>
      </c>
      <c r="M36" s="145">
        <v>0</v>
      </c>
      <c r="N36" s="145">
        <v>51</v>
      </c>
      <c r="O36" s="145">
        <v>3</v>
      </c>
      <c r="P36" s="145"/>
      <c r="Q36" s="145"/>
      <c r="R36" s="145"/>
      <c r="S36" s="145"/>
      <c r="T36" s="145"/>
    </row>
    <row r="37" spans="2:20" x14ac:dyDescent="0.25">
      <c r="B37" s="145">
        <v>15</v>
      </c>
      <c r="C37" s="145" t="s">
        <v>6</v>
      </c>
      <c r="D37" s="145" t="s">
        <v>282</v>
      </c>
      <c r="E37" s="145">
        <v>1</v>
      </c>
      <c r="F37" s="145">
        <v>25</v>
      </c>
      <c r="G37" s="145">
        <v>1397</v>
      </c>
      <c r="H37" s="145">
        <v>1420</v>
      </c>
      <c r="I37" s="145">
        <v>1444</v>
      </c>
      <c r="J37" s="143">
        <f t="shared" si="0"/>
        <v>47</v>
      </c>
      <c r="K37" s="145">
        <v>175</v>
      </c>
      <c r="L37" s="145">
        <f t="shared" si="1"/>
        <v>1269</v>
      </c>
      <c r="M37" s="145">
        <v>0</v>
      </c>
      <c r="N37" s="145">
        <v>51</v>
      </c>
      <c r="O37" s="145">
        <v>3</v>
      </c>
      <c r="P37" s="145"/>
      <c r="Q37" s="145"/>
      <c r="R37" s="145"/>
      <c r="S37" s="145"/>
      <c r="T37" s="145"/>
    </row>
    <row r="38" spans="2:20" x14ac:dyDescent="0.25">
      <c r="B38" s="143">
        <v>16</v>
      </c>
      <c r="C38" s="145" t="s">
        <v>6</v>
      </c>
      <c r="D38" s="145" t="s">
        <v>282</v>
      </c>
      <c r="E38" s="145">
        <v>1.6</v>
      </c>
      <c r="F38" s="145">
        <v>25</v>
      </c>
      <c r="G38" s="145">
        <v>1487</v>
      </c>
      <c r="H38" s="145">
        <v>1509</v>
      </c>
      <c r="I38" s="145">
        <v>1509</v>
      </c>
      <c r="J38" s="143">
        <f t="shared" si="0"/>
        <v>22</v>
      </c>
      <c r="K38" s="145">
        <v>175</v>
      </c>
      <c r="L38" s="145">
        <f t="shared" si="1"/>
        <v>1334</v>
      </c>
      <c r="M38" s="145">
        <v>0</v>
      </c>
      <c r="N38" s="145">
        <v>49</v>
      </c>
      <c r="O38" s="145">
        <v>16</v>
      </c>
      <c r="P38" s="145"/>
      <c r="Q38" s="145"/>
      <c r="R38" s="145"/>
      <c r="S38" s="145"/>
      <c r="T38" s="145"/>
    </row>
    <row r="39" spans="2:20" x14ac:dyDescent="0.25">
      <c r="B39" s="146">
        <v>17</v>
      </c>
      <c r="C39" s="146">
        <v>400</v>
      </c>
      <c r="D39" s="146" t="s">
        <v>281</v>
      </c>
      <c r="E39" s="146">
        <v>1</v>
      </c>
      <c r="F39" s="146">
        <v>3</v>
      </c>
      <c r="G39" s="146">
        <v>709</v>
      </c>
      <c r="H39" s="146">
        <v>722</v>
      </c>
      <c r="I39" s="146">
        <v>758</v>
      </c>
      <c r="J39" s="146">
        <f t="shared" si="0"/>
        <v>49</v>
      </c>
      <c r="K39" s="145">
        <v>145</v>
      </c>
      <c r="L39" s="145">
        <f t="shared" si="1"/>
        <v>613</v>
      </c>
      <c r="M39" s="145" t="s">
        <v>280</v>
      </c>
      <c r="N39" s="145" t="s">
        <v>280</v>
      </c>
      <c r="O39" s="145" t="s">
        <v>280</v>
      </c>
      <c r="P39" s="145"/>
      <c r="Q39" s="145" t="s">
        <v>280</v>
      </c>
      <c r="R39" s="145" t="s">
        <v>280</v>
      </c>
      <c r="S39" s="145" t="s">
        <v>280</v>
      </c>
      <c r="T39" s="145"/>
    </row>
    <row r="40" spans="2:20" x14ac:dyDescent="0.25">
      <c r="B40" s="146">
        <v>18</v>
      </c>
      <c r="C40" s="146">
        <v>400</v>
      </c>
      <c r="D40" s="146" t="s">
        <v>281</v>
      </c>
      <c r="E40" s="146">
        <v>1.6</v>
      </c>
      <c r="F40" s="146">
        <v>3</v>
      </c>
      <c r="G40" s="146">
        <v>745</v>
      </c>
      <c r="H40" s="146">
        <v>758</v>
      </c>
      <c r="I40" s="146">
        <v>758</v>
      </c>
      <c r="J40" s="146">
        <f t="shared" si="0"/>
        <v>13</v>
      </c>
      <c r="K40" s="145">
        <v>145</v>
      </c>
      <c r="L40" s="145">
        <f t="shared" si="1"/>
        <v>613</v>
      </c>
      <c r="M40" s="145" t="s">
        <v>280</v>
      </c>
      <c r="N40" s="145" t="s">
        <v>280</v>
      </c>
      <c r="O40" s="145" t="s">
        <v>280</v>
      </c>
      <c r="P40" s="145"/>
      <c r="Q40" s="145" t="s">
        <v>280</v>
      </c>
      <c r="R40" s="145" t="s">
        <v>280</v>
      </c>
      <c r="S40" s="145" t="s">
        <v>280</v>
      </c>
      <c r="T40" s="145"/>
    </row>
    <row r="41" spans="2:20" x14ac:dyDescent="0.25">
      <c r="B41" s="146">
        <v>19</v>
      </c>
      <c r="C41" s="146">
        <v>630</v>
      </c>
      <c r="D41" s="146" t="s">
        <v>281</v>
      </c>
      <c r="E41" s="146">
        <v>1</v>
      </c>
      <c r="F41" s="146">
        <v>3</v>
      </c>
      <c r="G41" s="146">
        <v>979</v>
      </c>
      <c r="H41" s="146">
        <v>1011</v>
      </c>
      <c r="I41" s="146">
        <v>1011</v>
      </c>
      <c r="J41" s="146">
        <f t="shared" si="0"/>
        <v>32</v>
      </c>
      <c r="K41" s="145">
        <v>175</v>
      </c>
      <c r="L41" s="145">
        <f t="shared" si="1"/>
        <v>836</v>
      </c>
      <c r="M41" s="145" t="s">
        <v>280</v>
      </c>
      <c r="N41" s="145" t="s">
        <v>280</v>
      </c>
      <c r="O41" s="145" t="s">
        <v>280</v>
      </c>
      <c r="P41" s="145"/>
      <c r="Q41" s="145" t="s">
        <v>280</v>
      </c>
      <c r="R41" s="145" t="s">
        <v>280</v>
      </c>
      <c r="S41" s="145" t="s">
        <v>280</v>
      </c>
      <c r="T41" s="145"/>
    </row>
    <row r="42" spans="2:20" x14ac:dyDescent="0.25">
      <c r="B42" s="147">
        <v>20</v>
      </c>
      <c r="C42" s="146">
        <v>630</v>
      </c>
      <c r="D42" s="146" t="s">
        <v>281</v>
      </c>
      <c r="E42" s="146">
        <v>1.6</v>
      </c>
      <c r="F42" s="146">
        <v>3</v>
      </c>
      <c r="G42" s="146">
        <v>1037</v>
      </c>
      <c r="H42" s="146">
        <v>1068</v>
      </c>
      <c r="I42" s="146">
        <v>1068</v>
      </c>
      <c r="J42" s="146">
        <f t="shared" si="0"/>
        <v>31</v>
      </c>
      <c r="K42" s="145">
        <v>175</v>
      </c>
      <c r="L42" s="145">
        <f t="shared" si="1"/>
        <v>893</v>
      </c>
      <c r="M42" s="145" t="s">
        <v>280</v>
      </c>
      <c r="N42" s="145" t="s">
        <v>280</v>
      </c>
      <c r="O42" s="145" t="s">
        <v>280</v>
      </c>
      <c r="P42" s="145"/>
      <c r="Q42" s="145" t="s">
        <v>280</v>
      </c>
      <c r="R42" s="145" t="s">
        <v>280</v>
      </c>
      <c r="S42" s="145" t="s">
        <v>280</v>
      </c>
      <c r="T42" s="145"/>
    </row>
    <row r="43" spans="2:20" x14ac:dyDescent="0.25">
      <c r="B43" s="146">
        <v>21</v>
      </c>
      <c r="C43" s="147" t="s">
        <v>7</v>
      </c>
      <c r="D43" s="147" t="s">
        <v>281</v>
      </c>
      <c r="E43" s="147">
        <v>1</v>
      </c>
      <c r="F43" s="147">
        <v>3</v>
      </c>
      <c r="G43" s="147">
        <v>1217</v>
      </c>
      <c r="H43" s="147">
        <v>1264</v>
      </c>
      <c r="I43" s="147">
        <v>1264</v>
      </c>
      <c r="J43" s="146">
        <f t="shared" si="0"/>
        <v>47</v>
      </c>
      <c r="K43" s="145">
        <v>175</v>
      </c>
      <c r="L43" s="145">
        <f t="shared" si="1"/>
        <v>1089</v>
      </c>
      <c r="M43" s="145" t="s">
        <v>280</v>
      </c>
      <c r="N43" s="145" t="s">
        <v>280</v>
      </c>
      <c r="O43" s="145" t="s">
        <v>280</v>
      </c>
      <c r="P43" s="145"/>
      <c r="Q43" s="145" t="s">
        <v>280</v>
      </c>
      <c r="R43" s="145" t="s">
        <v>280</v>
      </c>
      <c r="S43" s="145" t="s">
        <v>280</v>
      </c>
      <c r="T43" s="145"/>
    </row>
    <row r="44" spans="2:20" x14ac:dyDescent="0.25">
      <c r="B44" s="146">
        <v>22</v>
      </c>
      <c r="C44" s="147" t="s">
        <v>7</v>
      </c>
      <c r="D44" s="147" t="s">
        <v>281</v>
      </c>
      <c r="E44" s="147">
        <v>1.6</v>
      </c>
      <c r="F44" s="147">
        <v>3</v>
      </c>
      <c r="G44" s="147">
        <v>1307</v>
      </c>
      <c r="H44" s="147">
        <v>1354</v>
      </c>
      <c r="I44" s="147">
        <v>1363</v>
      </c>
      <c r="J44" s="146">
        <f t="shared" si="0"/>
        <v>56</v>
      </c>
      <c r="K44" s="145">
        <v>175</v>
      </c>
      <c r="L44" s="145">
        <f t="shared" si="1"/>
        <v>1188</v>
      </c>
      <c r="M44" s="145" t="s">
        <v>280</v>
      </c>
      <c r="N44" s="145" t="s">
        <v>280</v>
      </c>
      <c r="O44" s="145" t="s">
        <v>280</v>
      </c>
      <c r="P44" s="145"/>
      <c r="Q44" s="145" t="s">
        <v>280</v>
      </c>
      <c r="R44" s="145" t="s">
        <v>280</v>
      </c>
      <c r="S44" s="145" t="s">
        <v>280</v>
      </c>
      <c r="T44" s="145"/>
    </row>
    <row r="45" spans="2:20" x14ac:dyDescent="0.25">
      <c r="B45" s="146">
        <v>23</v>
      </c>
      <c r="C45" s="147" t="s">
        <v>6</v>
      </c>
      <c r="D45" s="147" t="s">
        <v>281</v>
      </c>
      <c r="E45" s="147">
        <v>1</v>
      </c>
      <c r="F45" s="147">
        <v>3</v>
      </c>
      <c r="G45" s="147">
        <v>1324</v>
      </c>
      <c r="H45" s="147">
        <v>1347</v>
      </c>
      <c r="I45" s="147">
        <v>1363</v>
      </c>
      <c r="J45" s="146">
        <f t="shared" si="0"/>
        <v>39</v>
      </c>
      <c r="K45" s="145">
        <v>175</v>
      </c>
      <c r="L45" s="145">
        <f t="shared" si="1"/>
        <v>1188</v>
      </c>
      <c r="M45" s="145" t="s">
        <v>280</v>
      </c>
      <c r="N45" s="145" t="s">
        <v>280</v>
      </c>
      <c r="O45" s="145" t="s">
        <v>280</v>
      </c>
      <c r="P45" s="145"/>
      <c r="Q45" s="145" t="s">
        <v>280</v>
      </c>
      <c r="R45" s="145" t="s">
        <v>280</v>
      </c>
      <c r="S45" s="145" t="s">
        <v>280</v>
      </c>
      <c r="T45" s="145"/>
    </row>
    <row r="46" spans="2:20" x14ac:dyDescent="0.25">
      <c r="B46" s="146">
        <v>24</v>
      </c>
      <c r="C46" s="147" t="s">
        <v>6</v>
      </c>
      <c r="D46" s="147" t="s">
        <v>281</v>
      </c>
      <c r="E46" s="147">
        <v>1.6</v>
      </c>
      <c r="F46" s="147">
        <v>3</v>
      </c>
      <c r="G46" s="147">
        <v>1414</v>
      </c>
      <c r="H46" s="147">
        <v>1437</v>
      </c>
      <c r="I46" s="147">
        <v>1444</v>
      </c>
      <c r="J46" s="146">
        <f t="shared" si="0"/>
        <v>30</v>
      </c>
      <c r="K46" s="145">
        <v>175</v>
      </c>
      <c r="L46" s="145">
        <f t="shared" si="1"/>
        <v>1269</v>
      </c>
      <c r="M46" s="145" t="s">
        <v>280</v>
      </c>
      <c r="N46" s="145" t="s">
        <v>280</v>
      </c>
      <c r="O46" s="145" t="s">
        <v>280</v>
      </c>
      <c r="P46" s="145"/>
      <c r="Q46" s="145" t="s">
        <v>280</v>
      </c>
      <c r="R46" s="145" t="s">
        <v>280</v>
      </c>
      <c r="S46" s="145" t="s">
        <v>280</v>
      </c>
      <c r="T46" s="145"/>
    </row>
    <row r="47" spans="2:20" x14ac:dyDescent="0.25">
      <c r="B47" s="147">
        <v>25</v>
      </c>
      <c r="C47" s="146">
        <v>400</v>
      </c>
      <c r="D47" s="146" t="s">
        <v>281</v>
      </c>
      <c r="E47" s="146">
        <v>1</v>
      </c>
      <c r="F47" s="146">
        <v>25</v>
      </c>
      <c r="G47" s="146">
        <v>779</v>
      </c>
      <c r="H47" s="146">
        <v>792</v>
      </c>
      <c r="I47" s="146">
        <v>828</v>
      </c>
      <c r="J47" s="146">
        <f t="shared" si="0"/>
        <v>49</v>
      </c>
      <c r="K47" s="145">
        <v>145</v>
      </c>
      <c r="L47" s="145">
        <f t="shared" si="1"/>
        <v>683</v>
      </c>
      <c r="M47" s="145" t="s">
        <v>280</v>
      </c>
      <c r="N47" s="145" t="s">
        <v>280</v>
      </c>
      <c r="O47" s="145" t="s">
        <v>280</v>
      </c>
      <c r="P47" s="145"/>
      <c r="Q47" s="145" t="s">
        <v>280</v>
      </c>
      <c r="R47" s="145" t="s">
        <v>280</v>
      </c>
      <c r="S47" s="145" t="s">
        <v>280</v>
      </c>
      <c r="T47" s="145"/>
    </row>
    <row r="48" spans="2:20" x14ac:dyDescent="0.25">
      <c r="B48" s="146">
        <v>26</v>
      </c>
      <c r="C48" s="146">
        <v>400</v>
      </c>
      <c r="D48" s="146" t="s">
        <v>281</v>
      </c>
      <c r="E48" s="146">
        <v>1.6</v>
      </c>
      <c r="F48" s="146">
        <v>25</v>
      </c>
      <c r="G48" s="146">
        <v>815</v>
      </c>
      <c r="H48" s="146">
        <v>828</v>
      </c>
      <c r="I48" s="146">
        <v>828</v>
      </c>
      <c r="J48" s="146">
        <f t="shared" si="0"/>
        <v>13</v>
      </c>
      <c r="K48" s="145">
        <v>145</v>
      </c>
      <c r="L48" s="145">
        <f t="shared" si="1"/>
        <v>683</v>
      </c>
      <c r="M48" s="145" t="s">
        <v>280</v>
      </c>
      <c r="N48" s="145" t="s">
        <v>280</v>
      </c>
      <c r="O48" s="145" t="s">
        <v>280</v>
      </c>
      <c r="P48" s="145"/>
      <c r="Q48" s="145" t="s">
        <v>280</v>
      </c>
      <c r="R48" s="145" t="s">
        <v>280</v>
      </c>
      <c r="S48" s="145" t="s">
        <v>280</v>
      </c>
      <c r="T48" s="145"/>
    </row>
    <row r="49" spans="2:20" x14ac:dyDescent="0.25">
      <c r="B49" s="146">
        <v>27</v>
      </c>
      <c r="C49" s="146">
        <v>630</v>
      </c>
      <c r="D49" s="146" t="s">
        <v>281</v>
      </c>
      <c r="E49" s="146">
        <v>1</v>
      </c>
      <c r="F49" s="146">
        <v>25</v>
      </c>
      <c r="G49" s="146">
        <v>1076</v>
      </c>
      <c r="H49" s="146">
        <v>1108</v>
      </c>
      <c r="I49" s="146">
        <v>1108</v>
      </c>
      <c r="J49" s="146">
        <f t="shared" si="0"/>
        <v>32</v>
      </c>
      <c r="K49" s="145">
        <v>175</v>
      </c>
      <c r="L49" s="145">
        <f t="shared" si="1"/>
        <v>933</v>
      </c>
      <c r="M49" s="145" t="s">
        <v>280</v>
      </c>
      <c r="N49" s="145" t="s">
        <v>280</v>
      </c>
      <c r="O49" s="145" t="s">
        <v>280</v>
      </c>
      <c r="P49" s="145"/>
      <c r="Q49" s="145" t="s">
        <v>280</v>
      </c>
      <c r="R49" s="145" t="s">
        <v>280</v>
      </c>
      <c r="S49" s="145" t="s">
        <v>280</v>
      </c>
      <c r="T49" s="145"/>
    </row>
    <row r="50" spans="2:20" x14ac:dyDescent="0.25">
      <c r="B50" s="146">
        <v>28</v>
      </c>
      <c r="C50" s="146">
        <v>630</v>
      </c>
      <c r="D50" s="146" t="s">
        <v>281</v>
      </c>
      <c r="E50" s="146">
        <v>1.6</v>
      </c>
      <c r="F50" s="146">
        <v>25</v>
      </c>
      <c r="G50" s="146">
        <v>1134</v>
      </c>
      <c r="H50" s="146">
        <v>1165</v>
      </c>
      <c r="I50" s="146">
        <v>1165</v>
      </c>
      <c r="J50" s="146">
        <f t="shared" si="0"/>
        <v>31</v>
      </c>
      <c r="K50" s="145">
        <v>175</v>
      </c>
      <c r="L50" s="145">
        <f t="shared" si="1"/>
        <v>990</v>
      </c>
      <c r="M50" s="145" t="s">
        <v>280</v>
      </c>
      <c r="N50" s="145" t="s">
        <v>280</v>
      </c>
      <c r="O50" s="145" t="s">
        <v>280</v>
      </c>
      <c r="P50" s="145"/>
      <c r="Q50" s="145" t="s">
        <v>280</v>
      </c>
      <c r="R50" s="145" t="s">
        <v>280</v>
      </c>
      <c r="S50" s="145" t="s">
        <v>280</v>
      </c>
      <c r="T50" s="145"/>
    </row>
    <row r="51" spans="2:20" x14ac:dyDescent="0.25">
      <c r="B51" s="146">
        <v>29</v>
      </c>
      <c r="C51" s="147" t="s">
        <v>7</v>
      </c>
      <c r="D51" s="147" t="s">
        <v>281</v>
      </c>
      <c r="E51" s="147">
        <v>1</v>
      </c>
      <c r="F51" s="147">
        <v>25</v>
      </c>
      <c r="G51" s="147">
        <v>1366</v>
      </c>
      <c r="H51" s="147">
        <v>1413</v>
      </c>
      <c r="I51" s="147">
        <v>1413</v>
      </c>
      <c r="J51" s="146">
        <f t="shared" si="0"/>
        <v>47</v>
      </c>
      <c r="K51" s="145">
        <v>175</v>
      </c>
      <c r="L51" s="145">
        <f t="shared" si="1"/>
        <v>1238</v>
      </c>
      <c r="M51" s="145" t="s">
        <v>280</v>
      </c>
      <c r="N51" s="145" t="s">
        <v>280</v>
      </c>
      <c r="O51" s="145" t="s">
        <v>280</v>
      </c>
      <c r="P51" s="145"/>
      <c r="Q51" s="145" t="s">
        <v>280</v>
      </c>
      <c r="R51" s="145" t="s">
        <v>280</v>
      </c>
      <c r="S51" s="145" t="s">
        <v>280</v>
      </c>
      <c r="T51" s="145"/>
    </row>
    <row r="52" spans="2:20" x14ac:dyDescent="0.25">
      <c r="B52" s="147">
        <v>30</v>
      </c>
      <c r="C52" s="147" t="s">
        <v>7</v>
      </c>
      <c r="D52" s="147" t="s">
        <v>281</v>
      </c>
      <c r="E52" s="147">
        <v>1.6</v>
      </c>
      <c r="F52" s="147">
        <v>25</v>
      </c>
      <c r="G52" s="147">
        <v>1456</v>
      </c>
      <c r="H52" s="147">
        <v>1503</v>
      </c>
      <c r="I52" s="147">
        <v>1509</v>
      </c>
      <c r="J52" s="146">
        <f t="shared" si="0"/>
        <v>53</v>
      </c>
      <c r="K52" s="145">
        <v>175</v>
      </c>
      <c r="L52" s="145">
        <f t="shared" si="1"/>
        <v>1334</v>
      </c>
      <c r="M52" s="145" t="s">
        <v>280</v>
      </c>
      <c r="N52" s="145" t="s">
        <v>280</v>
      </c>
      <c r="O52" s="145" t="s">
        <v>280</v>
      </c>
      <c r="P52" s="145"/>
      <c r="Q52" s="145" t="s">
        <v>280</v>
      </c>
      <c r="R52" s="145" t="s">
        <v>280</v>
      </c>
      <c r="S52" s="145" t="s">
        <v>280</v>
      </c>
      <c r="T52" s="145"/>
    </row>
    <row r="53" spans="2:20" x14ac:dyDescent="0.25">
      <c r="B53" s="146">
        <v>31</v>
      </c>
      <c r="C53" s="147" t="s">
        <v>6</v>
      </c>
      <c r="D53" s="147" t="s">
        <v>281</v>
      </c>
      <c r="E53" s="147">
        <v>1</v>
      </c>
      <c r="F53" s="147">
        <v>25</v>
      </c>
      <c r="G53" s="147">
        <v>1471</v>
      </c>
      <c r="H53" s="147">
        <v>1494</v>
      </c>
      <c r="I53" s="147">
        <v>1509</v>
      </c>
      <c r="J53" s="146">
        <f t="shared" si="0"/>
        <v>38</v>
      </c>
      <c r="K53" s="145">
        <v>175</v>
      </c>
      <c r="L53" s="145">
        <f t="shared" si="1"/>
        <v>1334</v>
      </c>
      <c r="M53" s="145" t="s">
        <v>280</v>
      </c>
      <c r="N53" s="145" t="s">
        <v>280</v>
      </c>
      <c r="O53" s="145" t="s">
        <v>280</v>
      </c>
      <c r="P53" s="145"/>
      <c r="Q53" s="145" t="s">
        <v>280</v>
      </c>
      <c r="R53" s="145" t="s">
        <v>280</v>
      </c>
      <c r="S53" s="145" t="s">
        <v>280</v>
      </c>
      <c r="T53" s="145"/>
    </row>
    <row r="54" spans="2:20" x14ac:dyDescent="0.25">
      <c r="B54" s="146">
        <v>32</v>
      </c>
      <c r="C54" s="147" t="s">
        <v>6</v>
      </c>
      <c r="D54" s="147" t="s">
        <v>281</v>
      </c>
      <c r="E54" s="147">
        <v>1.6</v>
      </c>
      <c r="F54" s="147">
        <v>25</v>
      </c>
      <c r="G54" s="147">
        <v>1561</v>
      </c>
      <c r="H54" s="147">
        <v>1583</v>
      </c>
      <c r="I54" s="147">
        <v>1583</v>
      </c>
      <c r="J54" s="146">
        <f t="shared" si="0"/>
        <v>22</v>
      </c>
      <c r="K54" s="145">
        <v>175</v>
      </c>
      <c r="L54" s="145">
        <f t="shared" si="1"/>
        <v>1408</v>
      </c>
      <c r="M54" s="145" t="s">
        <v>280</v>
      </c>
      <c r="N54" s="145" t="s">
        <v>280</v>
      </c>
      <c r="O54" s="145" t="s">
        <v>280</v>
      </c>
      <c r="P54" s="145"/>
      <c r="Q54" s="145" t="s">
        <v>280</v>
      </c>
      <c r="R54" s="145" t="s">
        <v>280</v>
      </c>
      <c r="S54" s="145" t="s">
        <v>280</v>
      </c>
      <c r="T54" s="145"/>
    </row>
  </sheetData>
  <mergeCells count="3">
    <mergeCell ref="J12:L12"/>
    <mergeCell ref="M20:P20"/>
    <mergeCell ref="Q20:T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3:T27"/>
  <sheetViews>
    <sheetView showGridLines="0" topLeftCell="F1" zoomScaleNormal="100" workbookViewId="0">
      <selection activeCell="L4" sqref="L4:T4"/>
    </sheetView>
  </sheetViews>
  <sheetFormatPr defaultColWidth="8.85546875" defaultRowHeight="12" x14ac:dyDescent="0.2"/>
  <cols>
    <col min="1" max="1" width="6.5703125" style="1" customWidth="1"/>
    <col min="2" max="2" width="25.5703125" style="1" bestFit="1" customWidth="1"/>
    <col min="3" max="3" width="12.85546875" style="1" bestFit="1" customWidth="1"/>
    <col min="4" max="4" width="27.7109375" style="1" bestFit="1" customWidth="1"/>
    <col min="5" max="5" width="27.140625" style="1" bestFit="1" customWidth="1"/>
    <col min="6" max="6" width="27.7109375" style="1" bestFit="1" customWidth="1"/>
    <col min="7" max="7" width="30.140625" style="1" bestFit="1" customWidth="1"/>
    <col min="8" max="9" width="15.140625" style="1" customWidth="1"/>
    <col min="10" max="11" width="32.28515625" style="1" bestFit="1" customWidth="1"/>
    <col min="12" max="12" width="10.5703125" style="1" bestFit="1" customWidth="1"/>
    <col min="13" max="13" width="11.140625" style="1" bestFit="1" customWidth="1"/>
    <col min="14" max="14" width="10.42578125" style="1" bestFit="1" customWidth="1"/>
    <col min="15" max="15" width="11.42578125" style="1" bestFit="1" customWidth="1"/>
    <col min="16" max="16" width="15.7109375" style="1" bestFit="1" customWidth="1"/>
    <col min="17" max="17" width="14.7109375" style="1" bestFit="1" customWidth="1"/>
    <col min="18" max="19" width="11" style="1" bestFit="1" customWidth="1"/>
    <col min="20" max="20" width="10.28515625" style="1" bestFit="1" customWidth="1"/>
    <col min="21" max="16384" width="8.85546875" style="1"/>
  </cols>
  <sheetData>
    <row r="3" spans="2:20" x14ac:dyDescent="0.2">
      <c r="B3" s="227" t="s">
        <v>694</v>
      </c>
      <c r="C3" s="228"/>
      <c r="D3" s="209" t="s">
        <v>11</v>
      </c>
      <c r="E3" s="209"/>
      <c r="F3" s="209"/>
      <c r="G3" s="209"/>
      <c r="H3" s="209"/>
      <c r="I3" s="209"/>
      <c r="J3" s="209"/>
      <c r="K3" s="209"/>
      <c r="L3" s="209" t="s">
        <v>10</v>
      </c>
      <c r="M3" s="209"/>
      <c r="N3" s="209"/>
      <c r="O3" s="209"/>
      <c r="P3" s="209"/>
      <c r="Q3" s="209"/>
      <c r="R3" s="209"/>
      <c r="S3" s="209"/>
      <c r="T3" s="209"/>
    </row>
    <row r="4" spans="2:20" ht="14.45" customHeight="1" x14ac:dyDescent="0.2">
      <c r="B4" s="229"/>
      <c r="C4" s="230"/>
      <c r="D4" s="195" t="s">
        <v>687</v>
      </c>
      <c r="E4" s="195" t="s">
        <v>688</v>
      </c>
      <c r="F4" s="195" t="s">
        <v>689</v>
      </c>
      <c r="G4" s="195" t="s">
        <v>690</v>
      </c>
      <c r="H4" s="233" t="s">
        <v>691</v>
      </c>
      <c r="I4" s="234"/>
      <c r="J4" s="195" t="s">
        <v>702</v>
      </c>
      <c r="K4" s="195" t="s">
        <v>692</v>
      </c>
      <c r="L4" s="195" t="s">
        <v>703</v>
      </c>
      <c r="M4" s="195" t="s">
        <v>704</v>
      </c>
      <c r="N4" s="195" t="s">
        <v>705</v>
      </c>
      <c r="O4" s="195" t="s">
        <v>708</v>
      </c>
      <c r="P4" s="195" t="s">
        <v>709</v>
      </c>
      <c r="Q4" s="195" t="s">
        <v>710</v>
      </c>
      <c r="R4" s="233" t="s">
        <v>706</v>
      </c>
      <c r="S4" s="234"/>
      <c r="T4" s="195" t="s">
        <v>707</v>
      </c>
    </row>
    <row r="5" spans="2:20" ht="14.45" customHeight="1" x14ac:dyDescent="0.2">
      <c r="B5" s="231"/>
      <c r="C5" s="232"/>
      <c r="D5" s="195" t="s">
        <v>695</v>
      </c>
      <c r="E5" s="195" t="s">
        <v>696</v>
      </c>
      <c r="F5" s="195" t="s">
        <v>697</v>
      </c>
      <c r="G5" s="195" t="s">
        <v>698</v>
      </c>
      <c r="H5" s="233" t="s">
        <v>699</v>
      </c>
      <c r="I5" s="234"/>
      <c r="J5" s="195" t="s">
        <v>701</v>
      </c>
      <c r="K5" s="195" t="s">
        <v>700</v>
      </c>
      <c r="L5" s="195">
        <v>40451504040</v>
      </c>
      <c r="M5" s="195">
        <v>40451504041</v>
      </c>
      <c r="N5" s="195">
        <v>40451504042</v>
      </c>
      <c r="O5" s="195">
        <v>40451504043</v>
      </c>
      <c r="P5" s="195">
        <v>40451504044</v>
      </c>
      <c r="Q5" s="195">
        <v>40451504045</v>
      </c>
      <c r="R5" s="233">
        <v>40451504046</v>
      </c>
      <c r="S5" s="234"/>
      <c r="T5" s="195">
        <v>40451504047</v>
      </c>
    </row>
    <row r="6" spans="2:20" x14ac:dyDescent="0.2">
      <c r="B6" s="196" t="s">
        <v>9</v>
      </c>
      <c r="C6" s="196" t="s">
        <v>8</v>
      </c>
      <c r="D6" s="196">
        <v>400</v>
      </c>
      <c r="E6" s="196">
        <v>400</v>
      </c>
      <c r="F6" s="196">
        <v>630</v>
      </c>
      <c r="G6" s="196">
        <v>630</v>
      </c>
      <c r="H6" s="196" t="s">
        <v>7</v>
      </c>
      <c r="I6" s="196" t="s">
        <v>6</v>
      </c>
      <c r="J6" s="196" t="s">
        <v>7</v>
      </c>
      <c r="K6" s="196" t="s">
        <v>6</v>
      </c>
      <c r="L6" s="196">
        <v>400</v>
      </c>
      <c r="M6" s="196">
        <v>630</v>
      </c>
      <c r="N6" s="196">
        <v>1000</v>
      </c>
      <c r="O6" s="196">
        <v>400</v>
      </c>
      <c r="P6" s="196">
        <v>630</v>
      </c>
      <c r="Q6" s="196">
        <v>1000</v>
      </c>
      <c r="R6" s="196">
        <v>400</v>
      </c>
      <c r="S6" s="196">
        <v>630</v>
      </c>
      <c r="T6" s="196">
        <v>1000</v>
      </c>
    </row>
    <row r="7" spans="2:20" x14ac:dyDescent="0.2">
      <c r="B7" s="196" t="s">
        <v>5</v>
      </c>
      <c r="C7" s="196" t="s">
        <v>4</v>
      </c>
      <c r="D7" s="196">
        <v>1</v>
      </c>
      <c r="E7" s="196">
        <v>1.6</v>
      </c>
      <c r="F7" s="196">
        <v>1</v>
      </c>
      <c r="G7" s="196">
        <v>1.6</v>
      </c>
      <c r="H7" s="196">
        <v>1</v>
      </c>
      <c r="I7" s="196">
        <v>1</v>
      </c>
      <c r="J7" s="196">
        <v>1.6</v>
      </c>
      <c r="K7" s="196">
        <v>1.6</v>
      </c>
      <c r="L7" s="196">
        <v>1</v>
      </c>
      <c r="M7" s="196">
        <v>1</v>
      </c>
      <c r="N7" s="196">
        <v>1</v>
      </c>
      <c r="O7" s="196">
        <v>1.6</v>
      </c>
      <c r="P7" s="196">
        <v>1.6</v>
      </c>
      <c r="Q7" s="196">
        <v>1.6</v>
      </c>
      <c r="R7" s="196">
        <v>1.6</v>
      </c>
      <c r="S7" s="196">
        <v>1.6</v>
      </c>
      <c r="T7" s="196">
        <v>1.6</v>
      </c>
    </row>
    <row r="8" spans="2:20" x14ac:dyDescent="0.2">
      <c r="B8" s="196" t="s">
        <v>3</v>
      </c>
      <c r="C8" s="196" t="s">
        <v>2</v>
      </c>
      <c r="D8" s="196">
        <v>60</v>
      </c>
      <c r="E8" s="196">
        <v>80</v>
      </c>
      <c r="F8" s="196">
        <v>60</v>
      </c>
      <c r="G8" s="196">
        <v>80</v>
      </c>
      <c r="H8" s="196">
        <v>60</v>
      </c>
      <c r="I8" s="196">
        <v>60</v>
      </c>
      <c r="J8" s="196">
        <v>80</v>
      </c>
      <c r="K8" s="196">
        <v>80</v>
      </c>
      <c r="L8" s="196">
        <v>60</v>
      </c>
      <c r="M8" s="196">
        <v>60</v>
      </c>
      <c r="N8" s="196">
        <v>60</v>
      </c>
      <c r="O8" s="196">
        <v>60</v>
      </c>
      <c r="P8" s="196">
        <v>60</v>
      </c>
      <c r="Q8" s="196">
        <v>60</v>
      </c>
      <c r="R8" s="196">
        <v>80</v>
      </c>
      <c r="S8" s="196">
        <v>80</v>
      </c>
      <c r="T8" s="196">
        <v>80</v>
      </c>
    </row>
    <row r="9" spans="2:20" x14ac:dyDescent="0.2">
      <c r="B9" s="6" t="s">
        <v>43</v>
      </c>
      <c r="C9" s="6" t="s">
        <v>16</v>
      </c>
      <c r="D9" s="6">
        <v>6.25</v>
      </c>
      <c r="E9" s="6">
        <v>8.0500000000000007</v>
      </c>
      <c r="F9" s="6">
        <v>8.0500000000000007</v>
      </c>
      <c r="G9" s="6">
        <v>11.05</v>
      </c>
      <c r="H9" s="6">
        <v>14.05</v>
      </c>
      <c r="I9" s="6">
        <v>14.05</v>
      </c>
      <c r="J9" s="6">
        <v>14.05</v>
      </c>
      <c r="K9" s="6">
        <v>14.05</v>
      </c>
      <c r="L9" s="6">
        <v>3.85</v>
      </c>
      <c r="M9" s="6">
        <v>4.8499999999999996</v>
      </c>
      <c r="N9" s="6">
        <v>6.95</v>
      </c>
      <c r="O9" s="6">
        <v>5.45</v>
      </c>
      <c r="P9" s="6">
        <v>7.05</v>
      </c>
      <c r="Q9" s="6">
        <v>10.45</v>
      </c>
      <c r="R9" s="6">
        <v>8.35</v>
      </c>
      <c r="S9" s="6">
        <v>8.35</v>
      </c>
      <c r="T9" s="6">
        <v>12.55</v>
      </c>
    </row>
    <row r="10" spans="2:20" x14ac:dyDescent="0.2">
      <c r="B10" s="196" t="s">
        <v>42</v>
      </c>
      <c r="C10" s="196" t="s">
        <v>16</v>
      </c>
      <c r="D10" s="196">
        <v>5.2</v>
      </c>
      <c r="E10" s="196">
        <v>7</v>
      </c>
      <c r="F10" s="196">
        <v>7</v>
      </c>
      <c r="G10" s="9">
        <v>10</v>
      </c>
      <c r="H10" s="196">
        <v>13</v>
      </c>
      <c r="I10" s="196">
        <v>13</v>
      </c>
      <c r="J10" s="196">
        <v>13</v>
      </c>
      <c r="K10" s="196">
        <v>13</v>
      </c>
      <c r="L10" s="196">
        <v>2.8</v>
      </c>
      <c r="M10" s="196">
        <v>3.8</v>
      </c>
      <c r="N10" s="196">
        <v>5.9</v>
      </c>
      <c r="O10" s="196">
        <v>4.4000000000000004</v>
      </c>
      <c r="P10" s="196">
        <v>6</v>
      </c>
      <c r="Q10" s="196">
        <v>9.4</v>
      </c>
      <c r="R10" s="196">
        <v>7.3</v>
      </c>
      <c r="S10" s="196">
        <v>7.3</v>
      </c>
      <c r="T10" s="196">
        <v>11.5</v>
      </c>
    </row>
    <row r="11" spans="2:20" x14ac:dyDescent="0.2">
      <c r="B11" s="6" t="s">
        <v>41</v>
      </c>
      <c r="C11" s="6" t="s">
        <v>12</v>
      </c>
      <c r="D11" s="6">
        <v>15.26</v>
      </c>
      <c r="E11" s="6">
        <v>19.260000000000002</v>
      </c>
      <c r="F11" s="6">
        <v>19.260000000000002</v>
      </c>
      <c r="G11" s="7">
        <v>24.76</v>
      </c>
      <c r="H11" s="6">
        <v>35.76</v>
      </c>
      <c r="I11" s="6">
        <v>35.76</v>
      </c>
      <c r="J11" s="6">
        <v>35.76</v>
      </c>
      <c r="K11" s="6">
        <v>35.76</v>
      </c>
      <c r="L11" s="6">
        <v>10.130000000000001</v>
      </c>
      <c r="M11" s="6">
        <v>12.76</v>
      </c>
      <c r="N11" s="6">
        <v>18.29</v>
      </c>
      <c r="O11" s="6">
        <v>14.34</v>
      </c>
      <c r="P11" s="6">
        <v>18.55</v>
      </c>
      <c r="Q11" s="6">
        <v>27.5</v>
      </c>
      <c r="R11" s="6">
        <v>21.97</v>
      </c>
      <c r="S11" s="6">
        <v>21.97</v>
      </c>
      <c r="T11" s="6">
        <v>33.03</v>
      </c>
    </row>
    <row r="12" spans="2:20" x14ac:dyDescent="0.2">
      <c r="B12" s="6" t="s">
        <v>14</v>
      </c>
      <c r="C12" s="6" t="s">
        <v>12</v>
      </c>
      <c r="D12" s="6">
        <v>22.76</v>
      </c>
      <c r="E12" s="6">
        <v>27.76</v>
      </c>
      <c r="F12" s="6">
        <v>27.76</v>
      </c>
      <c r="G12" s="7">
        <v>34.76</v>
      </c>
      <c r="H12" s="6">
        <v>48.76</v>
      </c>
      <c r="I12" s="6">
        <v>48.76</v>
      </c>
      <c r="J12" s="6">
        <v>48.76</v>
      </c>
      <c r="K12" s="6">
        <v>48.76</v>
      </c>
      <c r="L12" s="197">
        <v>18.260000000000002</v>
      </c>
      <c r="M12" s="197">
        <v>21.56</v>
      </c>
      <c r="N12" s="197">
        <v>30.16</v>
      </c>
      <c r="O12" s="197">
        <v>23.86</v>
      </c>
      <c r="P12" s="197">
        <v>32.06</v>
      </c>
      <c r="Q12" s="197">
        <v>48.76</v>
      </c>
      <c r="R12" s="197">
        <v>40.76</v>
      </c>
      <c r="S12" s="197">
        <v>40.76</v>
      </c>
      <c r="T12" s="197">
        <v>52.76</v>
      </c>
    </row>
    <row r="13" spans="2:20" x14ac:dyDescent="0.2">
      <c r="B13" s="196" t="s">
        <v>40</v>
      </c>
      <c r="C13" s="196" t="s">
        <v>39</v>
      </c>
      <c r="D13" s="236">
        <v>400</v>
      </c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8"/>
    </row>
    <row r="14" spans="2:20" x14ac:dyDescent="0.2">
      <c r="B14" s="196" t="s">
        <v>38</v>
      </c>
      <c r="C14" s="196" t="s">
        <v>37</v>
      </c>
      <c r="D14" s="239">
        <v>50</v>
      </c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</row>
    <row r="15" spans="2:20" x14ac:dyDescent="0.2">
      <c r="B15" s="196" t="s">
        <v>36</v>
      </c>
      <c r="D15" s="240" t="s">
        <v>35</v>
      </c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41"/>
      <c r="T15" s="242"/>
    </row>
    <row r="16" spans="2:20" x14ac:dyDescent="0.2">
      <c r="B16" s="196" t="s">
        <v>34</v>
      </c>
      <c r="C16" s="196" t="s">
        <v>33</v>
      </c>
      <c r="D16" s="240">
        <v>520</v>
      </c>
      <c r="E16" s="242"/>
      <c r="F16" s="196">
        <v>440</v>
      </c>
      <c r="G16" s="196">
        <v>590</v>
      </c>
      <c r="H16" s="196">
        <v>510</v>
      </c>
      <c r="I16" s="196">
        <v>510</v>
      </c>
      <c r="J16" s="196">
        <v>720</v>
      </c>
      <c r="K16" s="196">
        <v>900</v>
      </c>
      <c r="L16" s="240">
        <v>240</v>
      </c>
      <c r="M16" s="241"/>
      <c r="N16" s="241"/>
      <c r="O16" s="241"/>
      <c r="P16" s="241"/>
      <c r="Q16" s="242"/>
      <c r="R16" s="240">
        <v>320</v>
      </c>
      <c r="S16" s="241"/>
      <c r="T16" s="242"/>
    </row>
    <row r="17" spans="2:20" x14ac:dyDescent="0.2">
      <c r="B17" s="235" t="s">
        <v>32</v>
      </c>
      <c r="C17" s="196" t="s">
        <v>31</v>
      </c>
      <c r="D17" s="198" t="s">
        <v>23</v>
      </c>
      <c r="E17" s="198" t="s">
        <v>23</v>
      </c>
      <c r="F17" s="198" t="s">
        <v>24</v>
      </c>
      <c r="G17" s="198" t="s">
        <v>24</v>
      </c>
      <c r="H17" s="198" t="s">
        <v>30</v>
      </c>
      <c r="I17" s="198" t="s">
        <v>30</v>
      </c>
      <c r="J17" s="198" t="s">
        <v>30</v>
      </c>
      <c r="K17" s="198" t="s">
        <v>21</v>
      </c>
      <c r="L17" s="196" t="s">
        <v>29</v>
      </c>
      <c r="M17" s="196" t="s">
        <v>28</v>
      </c>
      <c r="N17" s="196" t="s">
        <v>27</v>
      </c>
      <c r="O17" s="196" t="s">
        <v>29</v>
      </c>
      <c r="P17" s="196" t="s">
        <v>28</v>
      </c>
      <c r="Q17" s="196" t="s">
        <v>27</v>
      </c>
      <c r="R17" s="196" t="s">
        <v>26</v>
      </c>
      <c r="S17" s="196" t="s">
        <v>26</v>
      </c>
      <c r="T17" s="196" t="s">
        <v>24</v>
      </c>
    </row>
    <row r="18" spans="2:20" x14ac:dyDescent="0.2">
      <c r="B18" s="235"/>
      <c r="C18" s="196" t="s">
        <v>25</v>
      </c>
      <c r="D18" s="198" t="s">
        <v>23</v>
      </c>
      <c r="E18" s="198" t="s">
        <v>23</v>
      </c>
      <c r="F18" s="198" t="s">
        <v>24</v>
      </c>
      <c r="G18" s="198" t="s">
        <v>23</v>
      </c>
      <c r="H18" s="198" t="s">
        <v>22</v>
      </c>
      <c r="I18" s="198" t="s">
        <v>21</v>
      </c>
      <c r="J18" s="198" t="s">
        <v>21</v>
      </c>
      <c r="K18" s="198" t="s">
        <v>21</v>
      </c>
      <c r="L18" s="199"/>
      <c r="M18" s="199"/>
      <c r="N18" s="199"/>
      <c r="O18" s="199"/>
      <c r="P18" s="199"/>
      <c r="Q18" s="199"/>
      <c r="R18" s="199"/>
      <c r="S18" s="199"/>
      <c r="T18" s="199"/>
    </row>
    <row r="19" spans="2:20" x14ac:dyDescent="0.2">
      <c r="B19" s="199"/>
      <c r="C19" s="199"/>
      <c r="D19" s="200"/>
      <c r="E19" s="200"/>
      <c r="F19" s="200"/>
      <c r="G19" s="200"/>
      <c r="H19" s="200"/>
      <c r="I19" s="200"/>
      <c r="J19" s="200"/>
      <c r="K19" s="200"/>
      <c r="L19" s="199"/>
      <c r="M19" s="199"/>
      <c r="N19" s="199"/>
      <c r="O19" s="199"/>
      <c r="P19" s="199"/>
      <c r="Q19" s="199"/>
      <c r="R19" s="199"/>
      <c r="S19" s="199"/>
      <c r="T19" s="199"/>
    </row>
    <row r="20" spans="2:20" x14ac:dyDescent="0.2">
      <c r="B20" s="199"/>
      <c r="C20" s="199"/>
      <c r="D20" s="200"/>
      <c r="E20" s="200"/>
      <c r="F20" s="200"/>
      <c r="G20" s="200"/>
      <c r="H20" s="200"/>
      <c r="I20" s="200"/>
      <c r="J20" s="200"/>
      <c r="K20" s="200"/>
      <c r="L20" s="199"/>
      <c r="M20" s="199"/>
      <c r="N20" s="199"/>
      <c r="O20" s="199"/>
      <c r="P20" s="199"/>
      <c r="Q20" s="199"/>
      <c r="R20" s="199"/>
      <c r="S20" s="199"/>
      <c r="T20" s="199"/>
    </row>
    <row r="21" spans="2:20" x14ac:dyDescent="0.2">
      <c r="B21" s="227" t="s">
        <v>693</v>
      </c>
      <c r="C21" s="228"/>
      <c r="D21" s="200"/>
      <c r="E21" s="200"/>
      <c r="F21" s="200"/>
      <c r="G21" s="200"/>
      <c r="H21" s="200"/>
      <c r="I21" s="200"/>
      <c r="J21" s="200"/>
      <c r="K21" s="200"/>
      <c r="L21" s="199"/>
      <c r="M21" s="199"/>
      <c r="N21" s="199"/>
      <c r="O21" s="199"/>
      <c r="P21" s="199"/>
      <c r="Q21" s="199"/>
      <c r="R21" s="199"/>
      <c r="S21" s="199"/>
      <c r="T21" s="199"/>
    </row>
    <row r="22" spans="2:20" x14ac:dyDescent="0.2">
      <c r="B22" s="229"/>
      <c r="C22" s="230"/>
      <c r="D22" s="199"/>
      <c r="E22" s="199"/>
      <c r="F22" s="200"/>
      <c r="G22" s="200"/>
      <c r="H22" s="200"/>
      <c r="I22" s="200"/>
      <c r="J22" s="200"/>
      <c r="K22" s="200"/>
      <c r="L22" s="199"/>
      <c r="M22" s="199"/>
      <c r="N22" s="199"/>
      <c r="O22" s="199"/>
      <c r="P22" s="199"/>
      <c r="Q22" s="199"/>
      <c r="R22" s="199"/>
      <c r="S22" s="199"/>
      <c r="T22" s="199"/>
    </row>
    <row r="23" spans="2:20" x14ac:dyDescent="0.2">
      <c r="B23" s="231"/>
      <c r="C23" s="232"/>
    </row>
    <row r="24" spans="2:20" ht="14.45" customHeight="1" x14ac:dyDescent="0.2">
      <c r="B24" s="8" t="s">
        <v>17</v>
      </c>
      <c r="C24" s="6" t="s">
        <v>16</v>
      </c>
      <c r="D24" s="6">
        <v>5.2</v>
      </c>
      <c r="E24" s="6">
        <v>7</v>
      </c>
      <c r="F24" s="6">
        <v>7</v>
      </c>
      <c r="G24" s="7">
        <v>10</v>
      </c>
      <c r="H24" s="6">
        <v>13</v>
      </c>
      <c r="I24" s="6">
        <v>13</v>
      </c>
      <c r="J24" s="6">
        <v>13</v>
      </c>
      <c r="K24" s="6">
        <v>13</v>
      </c>
      <c r="L24" s="6">
        <v>2.8</v>
      </c>
      <c r="M24" s="6">
        <v>3.8</v>
      </c>
      <c r="N24" s="6">
        <v>5.9</v>
      </c>
      <c r="O24" s="6">
        <v>4.4000000000000004</v>
      </c>
      <c r="P24" s="6">
        <v>6</v>
      </c>
      <c r="Q24" s="6">
        <v>9.4</v>
      </c>
      <c r="R24" s="6">
        <v>7.3</v>
      </c>
      <c r="S24" s="6">
        <v>7.3</v>
      </c>
      <c r="T24" s="6">
        <v>11.5</v>
      </c>
    </row>
    <row r="25" spans="2:20" ht="14.45" customHeight="1" x14ac:dyDescent="0.2">
      <c r="B25" s="8" t="s">
        <v>15</v>
      </c>
      <c r="C25" s="6" t="s">
        <v>12</v>
      </c>
      <c r="D25" s="7">
        <v>12.5</v>
      </c>
      <c r="E25" s="7">
        <v>16.5</v>
      </c>
      <c r="F25" s="7">
        <v>16.5</v>
      </c>
      <c r="G25" s="7">
        <v>28</v>
      </c>
      <c r="H25" s="7">
        <v>28</v>
      </c>
      <c r="I25" s="7">
        <v>28</v>
      </c>
      <c r="J25" s="7">
        <v>32</v>
      </c>
      <c r="K25" s="7">
        <v>32</v>
      </c>
      <c r="L25" s="6">
        <v>7.9</v>
      </c>
      <c r="M25" s="6">
        <v>10.199999999999999</v>
      </c>
      <c r="N25" s="6">
        <v>14.9</v>
      </c>
      <c r="O25" s="6">
        <v>9.9</v>
      </c>
      <c r="P25" s="6">
        <v>14.8</v>
      </c>
      <c r="Q25" s="6">
        <v>24.7</v>
      </c>
      <c r="R25" s="194">
        <v>17.399999999999999</v>
      </c>
      <c r="S25" s="194">
        <v>17.399999999999999</v>
      </c>
      <c r="T25" s="6">
        <v>25.5</v>
      </c>
    </row>
    <row r="26" spans="2:20" ht="14.45" customHeight="1" x14ac:dyDescent="0.2">
      <c r="B26" s="5" t="s">
        <v>14</v>
      </c>
      <c r="C26" s="196" t="s">
        <v>12</v>
      </c>
      <c r="D26" s="3"/>
      <c r="E26" s="3"/>
      <c r="F26" s="3"/>
      <c r="G26" s="3"/>
      <c r="H26" s="3"/>
      <c r="I26" s="3"/>
      <c r="J26" s="3"/>
      <c r="K26" s="3"/>
      <c r="L26" s="2">
        <v>15.5</v>
      </c>
      <c r="M26" s="2">
        <v>18.8</v>
      </c>
      <c r="N26" s="2">
        <v>27.4</v>
      </c>
      <c r="O26" s="2">
        <v>21.1</v>
      </c>
      <c r="P26" s="2">
        <v>29.3</v>
      </c>
      <c r="Q26" s="2">
        <v>46</v>
      </c>
      <c r="R26" s="2">
        <v>38</v>
      </c>
      <c r="S26" s="2">
        <v>38</v>
      </c>
      <c r="T26" s="2">
        <v>50</v>
      </c>
    </row>
    <row r="27" spans="2:20" ht="14.45" customHeight="1" x14ac:dyDescent="0.2">
      <c r="B27" s="4" t="s">
        <v>13</v>
      </c>
      <c r="C27" s="196" t="s">
        <v>12</v>
      </c>
      <c r="D27" s="3"/>
      <c r="E27" s="3"/>
      <c r="F27" s="3"/>
      <c r="G27" s="3"/>
      <c r="H27" s="3"/>
      <c r="I27" s="3"/>
      <c r="J27" s="3"/>
      <c r="K27" s="3"/>
      <c r="L27" s="2">
        <v>18</v>
      </c>
      <c r="M27" s="2">
        <v>22</v>
      </c>
      <c r="N27" s="2">
        <v>30</v>
      </c>
      <c r="O27" s="2">
        <v>30</v>
      </c>
      <c r="P27" s="2">
        <v>41</v>
      </c>
      <c r="Q27" s="2">
        <v>60</v>
      </c>
      <c r="R27" s="2">
        <v>60</v>
      </c>
      <c r="S27" s="2">
        <v>60</v>
      </c>
      <c r="T27" s="2">
        <v>84</v>
      </c>
    </row>
  </sheetData>
  <mergeCells count="15">
    <mergeCell ref="B17:B18"/>
    <mergeCell ref="B21:C23"/>
    <mergeCell ref="D13:T13"/>
    <mergeCell ref="D14:T14"/>
    <mergeCell ref="D15:T15"/>
    <mergeCell ref="D16:E16"/>
    <mergeCell ref="L16:Q16"/>
    <mergeCell ref="R16:T16"/>
    <mergeCell ref="B3:C5"/>
    <mergeCell ref="D3:K3"/>
    <mergeCell ref="L3:T3"/>
    <mergeCell ref="H4:I4"/>
    <mergeCell ref="R4:S4"/>
    <mergeCell ref="H5:I5"/>
    <mergeCell ref="R5:S5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1:I66"/>
  <sheetViews>
    <sheetView showGridLines="0" workbookViewId="0">
      <pane xSplit="2" ySplit="10" topLeftCell="C47" activePane="bottomRight" state="frozen"/>
      <selection pane="topRight" activeCell="C1" sqref="C1"/>
      <selection pane="bottomLeft" activeCell="A11" sqref="A11"/>
      <selection pane="bottomRight" activeCell="H5" sqref="H5"/>
    </sheetView>
  </sheetViews>
  <sheetFormatPr defaultRowHeight="15" x14ac:dyDescent="0.25"/>
  <cols>
    <col min="2" max="2" width="33.28515625" bestFit="1" customWidth="1"/>
    <col min="3" max="6" width="28.140625" bestFit="1" customWidth="1"/>
    <col min="7" max="7" width="31.5703125" bestFit="1" customWidth="1"/>
    <col min="8" max="8" width="28.140625" bestFit="1" customWidth="1"/>
    <col min="9" max="9" width="31.5703125" bestFit="1" customWidth="1"/>
  </cols>
  <sheetData>
    <row r="1" spans="2:9" ht="15.75" thickBot="1" x14ac:dyDescent="0.3"/>
    <row r="2" spans="2:9" x14ac:dyDescent="0.25">
      <c r="B2" s="61" t="s">
        <v>279</v>
      </c>
      <c r="C2" s="60">
        <v>275</v>
      </c>
      <c r="D2" s="59">
        <v>276</v>
      </c>
      <c r="E2" s="59">
        <v>277</v>
      </c>
      <c r="F2" s="59">
        <v>278</v>
      </c>
      <c r="G2" s="59">
        <v>279</v>
      </c>
      <c r="H2" s="59">
        <v>281</v>
      </c>
      <c r="I2" s="58">
        <v>280</v>
      </c>
    </row>
    <row r="3" spans="2:9" x14ac:dyDescent="0.25">
      <c r="B3" s="53" t="s">
        <v>278</v>
      </c>
      <c r="C3" s="52" t="str">
        <f>IF(C2="","",IF(VLOOKUP(C2,[4]Components!$B$7:$R$5000,4,FALSE)="","",VLOOKUP(C2,[4]Components!$B$7:$R$5000,4,FALSE)))</f>
        <v>ОСП0005533</v>
      </c>
      <c r="D3" s="50" t="str">
        <f>IF(D2="","",IF(VLOOKUP(D2,[4]Components!$B$7:$R$5000,4,FALSE)="","",VLOOKUP(D2,[4]Components!$B$7:$R$5000,4,FALSE)))</f>
        <v>ОСП0007722</v>
      </c>
      <c r="E3" s="50" t="str">
        <f>IF(E2="","",IF(VLOOKUP(E2,[4]Components!$B$7:$R$5000,4,FALSE)="","",VLOOKUP(E2,[4]Components!$B$7:$R$5000,4,FALSE)))</f>
        <v xml:space="preserve">ОСП0010774 </v>
      </c>
      <c r="F3" s="50" t="str">
        <f>IF(F2="","",IF(VLOOKUP(F2,[4]Components!$B$7:$R$5000,4,FALSE)="","",VLOOKUP(F2,[4]Components!$B$7:$R$5000,4,FALSE)))</f>
        <v>ОСП0009361</v>
      </c>
      <c r="G3" s="50" t="str">
        <f>IF(G2="","",IF(VLOOKUP(G2,[4]Components!$B$7:$R$5000,4,FALSE)="","",VLOOKUP(G2,[4]Components!$B$7:$R$5000,4,FALSE)))</f>
        <v>ОСП0010477</v>
      </c>
      <c r="H3" s="50" t="str">
        <f>IF(H2="","",IF(VLOOKUP(H2,[4]Components!$B$7:$R$5000,4,FALSE)="","",VLOOKUP(H2,[4]Components!$B$7:$R$5000,4,FALSE)))</f>
        <v>ОСП0007723</v>
      </c>
      <c r="I3" s="49" t="str">
        <f>IF(I2="","",IF(VLOOKUP(I2,[4]Components!$B$7:$R$5000,4,FALSE)="","",VLOOKUP(I2,[4]Components!$B$7:$R$5000,4,FALSE)))</f>
        <v>ОСП0006917</v>
      </c>
    </row>
    <row r="4" spans="2:9" x14ac:dyDescent="0.25">
      <c r="B4" s="53" t="s">
        <v>277</v>
      </c>
      <c r="C4" s="52">
        <f>IF(C2="","",IF(VLOOKUP(C2,[4]Components!$B$7:$R$5000,5,FALSE)="","",VLOOKUP(C2,[4]Components!$B$7:$R$5000,5,FALSE)))</f>
        <v>40451504010</v>
      </c>
      <c r="D4" s="50">
        <f>IF(D2="","",IF(VLOOKUP(D2,[4]Components!$B$7:$R$5000,5,FALSE)="","",VLOOKUP(D2,[4]Components!$B$7:$R$5000,5,FALSE)))</f>
        <v>40451504011</v>
      </c>
      <c r="E4" s="50">
        <f>IF(E2="","",IF(VLOOKUP(E2,[4]Components!$B$7:$R$5000,5,FALSE)="","",VLOOKUP(E2,[4]Components!$B$7:$R$5000,5,FALSE)))</f>
        <v>40451504015</v>
      </c>
      <c r="F4" s="50">
        <f>IF(F2="","",IF(VLOOKUP(F2,[4]Components!$B$7:$R$5000,5,FALSE)="","",VLOOKUP(F2,[4]Components!$B$7:$R$5000,5,FALSE)))</f>
        <v>40451504016</v>
      </c>
      <c r="G4" s="50">
        <f>IF(G2="","",IF(VLOOKUP(G2,[4]Components!$B$7:$R$5000,5,FALSE)="","",VLOOKUP(G2,[4]Components!$B$7:$R$5000,5,FALSE)))</f>
        <v>40451504022</v>
      </c>
      <c r="H4" s="50">
        <f>IF(H2="","",IF(VLOOKUP(H2,[4]Components!$B$7:$R$5000,5,FALSE)="","",VLOOKUP(H2,[4]Components!$B$7:$R$5000,5,FALSE)))</f>
        <v>40451504031</v>
      </c>
      <c r="I4" s="49">
        <f>IF(I2="","",IF(VLOOKUP(I2,[4]Components!$B$7:$R$5000,5,FALSE)="","",VLOOKUP(I2,[4]Components!$B$7:$R$5000,5,FALSE)))</f>
        <v>40451504030</v>
      </c>
    </row>
    <row r="5" spans="2:9" x14ac:dyDescent="0.25">
      <c r="B5" s="53" t="s">
        <v>276</v>
      </c>
      <c r="C5" s="52" t="str">
        <f>IF(C2="","",IF(VLOOKUP(C2,[4]Components!$B$7:$R$5000,6,FALSE)="","",VLOOKUP(C2,[4]Components!$B$7:$R$5000,6,FALSE)))</f>
        <v>62310003843C</v>
      </c>
      <c r="D5" s="50" t="str">
        <f>IF(D2="","",IF(VLOOKUP(D2,[4]Components!$B$7:$R$5000,6,FALSE)="","",VLOOKUP(D2,[4]Components!$B$7:$R$5000,6,FALSE)))</f>
        <v>62310003843B</v>
      </c>
      <c r="E5" s="50" t="str">
        <f>IF(E2="","",IF(VLOOKUP(E2,[4]Components!$B$7:$R$5000,6,FALSE)="","",VLOOKUP(E2,[4]Components!$B$7:$R$5000,6,FALSE)))</f>
        <v>62310003843H</v>
      </c>
      <c r="F5" s="50" t="str">
        <f>IF(F2="","",IF(VLOOKUP(F2,[4]Components!$B$7:$R$5000,6,FALSE)="","",VLOOKUP(F2,[4]Components!$B$7:$R$5000,6,FALSE)))</f>
        <v>6232001010B</v>
      </c>
      <c r="G5" s="50" t="str">
        <f>IF(G2="","",IF(VLOOKUP(G2,[4]Components!$B$7:$R$5000,6,FALSE)="","",VLOOKUP(G2,[4]Components!$B$7:$R$5000,6,FALSE)))</f>
        <v>6232001010G</v>
      </c>
      <c r="H5" s="50" t="str">
        <f>IF(H2="","",IF(VLOOKUP(H2,[4]Components!$B$7:$R$5000,6,FALSE)="","",VLOOKUP(H2,[4]Components!$B$7:$R$5000,6,FALSE)))</f>
        <v>62330006923F</v>
      </c>
      <c r="I5" s="49" t="str">
        <f>IF(I2="","",IF(VLOOKUP(I2,[4]Components!$B$7:$R$5000,6,FALSE)="","",VLOOKUP(I2,[4]Components!$B$7:$R$5000,6,FALSE)))</f>
        <v>62330006923G</v>
      </c>
    </row>
    <row r="6" spans="2:9" ht="45" x14ac:dyDescent="0.25">
      <c r="B6" s="53" t="s">
        <v>275</v>
      </c>
      <c r="C6" s="57" t="str">
        <f>IF(C2="","",IF(VLOOKUP(C2,[4]Components!$B$7:$R$5000,8,FALSE)="","",VLOOKUP(C2,[4]Components!$B$7:$R$5000,8,FALSE)))</f>
        <v>AY TM TW45 hor.R 32:1 TSD520-6xd8-V45° 5,2kW-2x4096TTL-1,0</v>
      </c>
      <c r="D6" s="55" t="str">
        <f>IF(D2="","",IF(VLOOKUP(D2,[4]Components!$B$7:$R$5000,8,FALSE)="","",VLOOKUP(D2,[4]Components!$B$7:$R$5000,8,FALSE)))</f>
        <v>AY TM TW45 hor.R 41:2 TSD520-6xd8-V45° 7kW-2x4096TTL-1,6</v>
      </c>
      <c r="E6" s="55" t="str">
        <f>IF(E2="","",IF(VLOOKUP(E2,[4]Components!$B$7:$R$5000,8,FALSE)="","",VLOOKUP(E2,[4]Components!$B$7:$R$5000,8,FALSE)))</f>
        <v>AY TM TW45 hor.R 32:1 TSD440-7xd8-V40° 7kW-2x4096TTL-1,0</v>
      </c>
      <c r="F6" s="55" t="str">
        <f>IF(F2="","",IF(VLOOKUP(F2,[4]Components!$B$7:$R$5000,8,FALSE)="","",VLOOKUP(F2,[4]Components!$B$7:$R$5000,8,FALSE)))</f>
        <v>AY TM TW63 vert.L 48:2 TSD590-7xd8-V45° 10kW-2x4096TTL-1,6</v>
      </c>
      <c r="G6" s="55" t="str">
        <f>IF(G2="","",IF(VLOOKUP(G2,[4]Components!$B$7:$R$5000,8,FALSE)="","",VLOOKUP(G2,[4]Components!$B$7:$R$5000,8,FALSE)))</f>
        <v>AY TM TW63 hor.R 33:1 TSD510-6xd11-V41° 13kW-2x4096TTL-1,0</v>
      </c>
      <c r="H6" s="55" t="str">
        <f>IF(H2="","",IF(VLOOKUP(H2,[4]Components!$B$7:$R$5000,8,FALSE)="","",VLOOKUP(H2,[4]Components!$B$7:$R$5000,8,FALSE)))</f>
        <v>AY TM TW130 vert.L 35:1 TSD720-6xd11-SG100° 13kW-2x4096TTL-1,6</v>
      </c>
      <c r="I6" s="54" t="str">
        <f>IF(I2="","",IF(VLOOKUP(I2,[4]Components!$B$7:$R$5000,8,FALSE)="","",VLOOKUP(I2,[4]Components!$B$7:$R$5000,8,FALSE)))</f>
        <v>AY TM TW130 vert.L 35:1 TSD900-6xd11-SG100° 13kW-2x4096TTL-1,6</v>
      </c>
    </row>
    <row r="7" spans="2:9" x14ac:dyDescent="0.25">
      <c r="B7" s="53" t="s">
        <v>274</v>
      </c>
      <c r="C7" s="57" t="s">
        <v>273</v>
      </c>
      <c r="D7" s="56" t="s">
        <v>273</v>
      </c>
      <c r="E7" s="56" t="s">
        <v>273</v>
      </c>
      <c r="F7" s="56" t="s">
        <v>272</v>
      </c>
      <c r="G7" s="55" t="s">
        <v>273</v>
      </c>
      <c r="H7" s="55" t="s">
        <v>272</v>
      </c>
      <c r="I7" s="54" t="s">
        <v>272</v>
      </c>
    </row>
    <row r="8" spans="2:9" ht="30" x14ac:dyDescent="0.25">
      <c r="B8" s="53" t="s">
        <v>271</v>
      </c>
      <c r="C8" s="57" t="s">
        <v>270</v>
      </c>
      <c r="D8" s="56" t="s">
        <v>270</v>
      </c>
      <c r="E8" s="56" t="s">
        <v>270</v>
      </c>
      <c r="F8" s="56" t="s">
        <v>270</v>
      </c>
      <c r="G8" s="55" t="s">
        <v>268</v>
      </c>
      <c r="H8" s="50" t="s">
        <v>269</v>
      </c>
      <c r="I8" s="54" t="s">
        <v>268</v>
      </c>
    </row>
    <row r="9" spans="2:9" x14ac:dyDescent="0.25">
      <c r="B9" s="53" t="s">
        <v>267</v>
      </c>
      <c r="C9" s="52" t="s">
        <v>266</v>
      </c>
      <c r="D9" s="51" t="s">
        <v>265</v>
      </c>
      <c r="E9" s="51" t="s">
        <v>264</v>
      </c>
      <c r="F9" s="51" t="s">
        <v>263</v>
      </c>
      <c r="G9" s="50" t="s">
        <v>262</v>
      </c>
      <c r="H9" s="50" t="s">
        <v>261</v>
      </c>
      <c r="I9" s="49" t="s">
        <v>260</v>
      </c>
    </row>
    <row r="10" spans="2:9" ht="15.75" thickBot="1" x14ac:dyDescent="0.3">
      <c r="B10" s="48" t="s">
        <v>259</v>
      </c>
      <c r="C10" s="47" t="s">
        <v>258</v>
      </c>
      <c r="D10" s="46" t="s">
        <v>258</v>
      </c>
      <c r="E10" s="46" t="s">
        <v>258</v>
      </c>
      <c r="F10" s="46" t="s">
        <v>258</v>
      </c>
      <c r="G10" s="45" t="s">
        <v>258</v>
      </c>
      <c r="H10" s="45" t="s">
        <v>258</v>
      </c>
      <c r="I10" s="44" t="s">
        <v>258</v>
      </c>
    </row>
    <row r="11" spans="2:9" x14ac:dyDescent="0.25">
      <c r="B11" s="43" t="s">
        <v>257</v>
      </c>
      <c r="C11" s="42">
        <v>8</v>
      </c>
      <c r="D11" s="41">
        <v>8</v>
      </c>
      <c r="E11" s="41">
        <v>8</v>
      </c>
      <c r="F11" s="41">
        <v>8</v>
      </c>
      <c r="G11" s="41">
        <v>11</v>
      </c>
      <c r="H11" s="41">
        <v>11</v>
      </c>
      <c r="I11" s="40">
        <v>11</v>
      </c>
    </row>
    <row r="12" spans="2:9" x14ac:dyDescent="0.25">
      <c r="B12" s="27" t="s">
        <v>256</v>
      </c>
      <c r="C12" s="26">
        <v>6</v>
      </c>
      <c r="D12" s="25">
        <v>6</v>
      </c>
      <c r="E12" s="25">
        <v>7</v>
      </c>
      <c r="F12" s="25">
        <v>7</v>
      </c>
      <c r="G12" s="25">
        <v>6</v>
      </c>
      <c r="H12" s="25">
        <v>6</v>
      </c>
      <c r="I12" s="24">
        <v>6</v>
      </c>
    </row>
    <row r="13" spans="2:9" x14ac:dyDescent="0.25">
      <c r="B13" s="27" t="s">
        <v>255</v>
      </c>
      <c r="C13" s="26">
        <v>5</v>
      </c>
      <c r="D13" s="25">
        <v>5</v>
      </c>
      <c r="E13" s="25">
        <v>6</v>
      </c>
      <c r="F13" s="25">
        <v>5</v>
      </c>
      <c r="G13" s="29" t="s">
        <v>254</v>
      </c>
      <c r="H13" s="25">
        <v>5</v>
      </c>
      <c r="I13" s="24">
        <v>5</v>
      </c>
    </row>
    <row r="14" spans="2:9" x14ac:dyDescent="0.25">
      <c r="B14" s="27" t="s">
        <v>253</v>
      </c>
      <c r="C14" s="26" t="s">
        <v>252</v>
      </c>
      <c r="D14" s="25" t="s">
        <v>252</v>
      </c>
      <c r="E14" s="25" t="s">
        <v>252</v>
      </c>
      <c r="F14" s="25" t="s">
        <v>252</v>
      </c>
      <c r="G14" s="25" t="s">
        <v>252</v>
      </c>
      <c r="H14" s="25" t="s">
        <v>252</v>
      </c>
      <c r="I14" s="24" t="s">
        <v>252</v>
      </c>
    </row>
    <row r="15" spans="2:9" x14ac:dyDescent="0.25">
      <c r="B15" s="27" t="s">
        <v>251</v>
      </c>
      <c r="C15" s="26" t="s">
        <v>249</v>
      </c>
      <c r="D15" s="25" t="s">
        <v>249</v>
      </c>
      <c r="E15" s="25" t="s">
        <v>249</v>
      </c>
      <c r="F15" s="25" t="s">
        <v>250</v>
      </c>
      <c r="G15" s="25" t="s">
        <v>250</v>
      </c>
      <c r="H15" s="25" t="s">
        <v>249</v>
      </c>
      <c r="I15" s="24" t="s">
        <v>249</v>
      </c>
    </row>
    <row r="16" spans="2:9" x14ac:dyDescent="0.25">
      <c r="B16" s="27" t="s">
        <v>248</v>
      </c>
      <c r="C16" s="32" t="s">
        <v>247</v>
      </c>
      <c r="D16" s="31" t="s">
        <v>247</v>
      </c>
      <c r="E16" s="31" t="s">
        <v>247</v>
      </c>
      <c r="F16" s="31" t="s">
        <v>247</v>
      </c>
      <c r="G16" s="31" t="s">
        <v>247</v>
      </c>
      <c r="H16" s="31" t="s">
        <v>247</v>
      </c>
      <c r="I16" s="24" t="s">
        <v>247</v>
      </c>
    </row>
    <row r="17" spans="2:9" x14ac:dyDescent="0.25">
      <c r="B17" s="27" t="s">
        <v>246</v>
      </c>
      <c r="C17" s="26" t="s">
        <v>60</v>
      </c>
      <c r="D17" s="25" t="s">
        <v>60</v>
      </c>
      <c r="E17" s="25" t="s">
        <v>60</v>
      </c>
      <c r="F17" s="31" t="s">
        <v>60</v>
      </c>
      <c r="G17" s="31" t="s">
        <v>60</v>
      </c>
      <c r="H17" s="31" t="s">
        <v>60</v>
      </c>
      <c r="I17" s="24" t="s">
        <v>60</v>
      </c>
    </row>
    <row r="18" spans="2:9" x14ac:dyDescent="0.25">
      <c r="B18" s="27" t="s">
        <v>245</v>
      </c>
      <c r="C18" s="26" t="s">
        <v>244</v>
      </c>
      <c r="D18" s="25" t="s">
        <v>244</v>
      </c>
      <c r="E18" s="25" t="s">
        <v>244</v>
      </c>
      <c r="F18" s="25" t="s">
        <v>244</v>
      </c>
      <c r="G18" s="25" t="s">
        <v>244</v>
      </c>
      <c r="H18" s="25" t="s">
        <v>244</v>
      </c>
      <c r="I18" s="24" t="s">
        <v>244</v>
      </c>
    </row>
    <row r="19" spans="2:9" x14ac:dyDescent="0.25">
      <c r="B19" s="27" t="s">
        <v>243</v>
      </c>
      <c r="C19" s="39" t="s">
        <v>241</v>
      </c>
      <c r="D19" s="38" t="s">
        <v>242</v>
      </c>
      <c r="E19" s="38" t="s">
        <v>241</v>
      </c>
      <c r="F19" s="38" t="s">
        <v>240</v>
      </c>
      <c r="G19" s="38" t="s">
        <v>239</v>
      </c>
      <c r="H19" s="38" t="s">
        <v>238</v>
      </c>
      <c r="I19" s="37" t="s">
        <v>238</v>
      </c>
    </row>
    <row r="20" spans="2:9" x14ac:dyDescent="0.25">
      <c r="B20" s="27" t="s">
        <v>237</v>
      </c>
      <c r="C20" s="32">
        <v>520</v>
      </c>
      <c r="D20" s="31">
        <v>520</v>
      </c>
      <c r="E20" s="31">
        <v>440</v>
      </c>
      <c r="F20" s="31">
        <v>590</v>
      </c>
      <c r="G20" s="31">
        <v>510</v>
      </c>
      <c r="H20" s="31">
        <v>720</v>
      </c>
      <c r="I20" s="24">
        <v>900</v>
      </c>
    </row>
    <row r="21" spans="2:9" x14ac:dyDescent="0.25">
      <c r="B21" s="27" t="s">
        <v>236</v>
      </c>
      <c r="C21" s="32" t="s">
        <v>235</v>
      </c>
      <c r="D21" s="31" t="s">
        <v>235</v>
      </c>
      <c r="E21" s="25" t="s">
        <v>235</v>
      </c>
      <c r="F21" s="25" t="s">
        <v>234</v>
      </c>
      <c r="G21" s="31" t="s">
        <v>235</v>
      </c>
      <c r="H21" s="31" t="s">
        <v>234</v>
      </c>
      <c r="I21" s="24" t="s">
        <v>234</v>
      </c>
    </row>
    <row r="22" spans="2:9" x14ac:dyDescent="0.25">
      <c r="B22" s="27" t="s">
        <v>233</v>
      </c>
      <c r="C22" s="32">
        <v>115</v>
      </c>
      <c r="D22" s="31">
        <v>115</v>
      </c>
      <c r="E22" s="31">
        <v>115</v>
      </c>
      <c r="F22" s="31">
        <v>132</v>
      </c>
      <c r="G22" s="31">
        <v>132</v>
      </c>
      <c r="H22" s="31">
        <v>150</v>
      </c>
      <c r="I22" s="24">
        <v>150</v>
      </c>
    </row>
    <row r="23" spans="2:9" x14ac:dyDescent="0.25">
      <c r="B23" s="27" t="s">
        <v>232</v>
      </c>
      <c r="C23" s="32" t="s">
        <v>231</v>
      </c>
      <c r="D23" s="31" t="s">
        <v>231</v>
      </c>
      <c r="E23" s="31" t="s">
        <v>231</v>
      </c>
      <c r="F23" s="31" t="s">
        <v>231</v>
      </c>
      <c r="G23" s="31" t="s">
        <v>231</v>
      </c>
      <c r="H23" s="31" t="s">
        <v>230</v>
      </c>
      <c r="I23" s="24" t="s">
        <v>230</v>
      </c>
    </row>
    <row r="24" spans="2:9" x14ac:dyDescent="0.25">
      <c r="B24" s="27" t="s">
        <v>229</v>
      </c>
      <c r="C24" s="32">
        <v>45</v>
      </c>
      <c r="D24" s="31">
        <v>45</v>
      </c>
      <c r="E24" s="31">
        <v>40</v>
      </c>
      <c r="F24" s="31">
        <v>45</v>
      </c>
      <c r="G24" s="31">
        <v>41</v>
      </c>
      <c r="H24" s="31">
        <v>100</v>
      </c>
      <c r="I24" s="24">
        <v>100</v>
      </c>
    </row>
    <row r="25" spans="2:9" x14ac:dyDescent="0.25">
      <c r="B25" s="27" t="s">
        <v>228</v>
      </c>
      <c r="C25" s="32" t="s">
        <v>20</v>
      </c>
      <c r="D25" s="31" t="s">
        <v>20</v>
      </c>
      <c r="E25" s="31" t="s">
        <v>20</v>
      </c>
      <c r="F25" s="31" t="s">
        <v>19</v>
      </c>
      <c r="G25" s="31" t="s">
        <v>19</v>
      </c>
      <c r="H25" s="31" t="s">
        <v>18</v>
      </c>
      <c r="I25" s="24" t="s">
        <v>18</v>
      </c>
    </row>
    <row r="26" spans="2:9" x14ac:dyDescent="0.25">
      <c r="B26" s="27" t="s">
        <v>227</v>
      </c>
      <c r="C26" s="36">
        <v>12.5</v>
      </c>
      <c r="D26" s="25">
        <v>16.5</v>
      </c>
      <c r="E26" s="25">
        <v>16.5</v>
      </c>
      <c r="F26" s="25">
        <v>28</v>
      </c>
      <c r="G26" s="25">
        <v>32</v>
      </c>
      <c r="H26" s="25">
        <v>32</v>
      </c>
      <c r="I26" s="24">
        <v>32</v>
      </c>
    </row>
    <row r="27" spans="2:9" x14ac:dyDescent="0.25">
      <c r="B27" s="27" t="s">
        <v>226</v>
      </c>
      <c r="C27" s="26" t="s">
        <v>60</v>
      </c>
      <c r="D27" s="25" t="s">
        <v>60</v>
      </c>
      <c r="E27" s="25" t="s">
        <v>60</v>
      </c>
      <c r="F27" s="25" t="s">
        <v>60</v>
      </c>
      <c r="G27" s="25" t="s">
        <v>60</v>
      </c>
      <c r="H27" s="25" t="s">
        <v>60</v>
      </c>
      <c r="I27" s="24" t="s">
        <v>60</v>
      </c>
    </row>
    <row r="28" spans="2:9" x14ac:dyDescent="0.25">
      <c r="B28" s="27" t="s">
        <v>225</v>
      </c>
      <c r="C28" s="26">
        <v>380</v>
      </c>
      <c r="D28" s="25">
        <v>380</v>
      </c>
      <c r="E28" s="25">
        <v>380</v>
      </c>
      <c r="F28" s="25">
        <v>380</v>
      </c>
      <c r="G28" s="25">
        <v>380</v>
      </c>
      <c r="H28" s="25">
        <v>380</v>
      </c>
      <c r="I28" s="24">
        <v>380</v>
      </c>
    </row>
    <row r="29" spans="2:9" x14ac:dyDescent="0.25">
      <c r="B29" s="27" t="s">
        <v>224</v>
      </c>
      <c r="C29" s="26" t="s">
        <v>223</v>
      </c>
      <c r="D29" s="25" t="s">
        <v>223</v>
      </c>
      <c r="E29" s="25" t="s">
        <v>223</v>
      </c>
      <c r="F29" s="25" t="s">
        <v>223</v>
      </c>
      <c r="G29" s="25" t="s">
        <v>223</v>
      </c>
      <c r="H29" s="25" t="s">
        <v>223</v>
      </c>
      <c r="I29" s="24" t="s">
        <v>223</v>
      </c>
    </row>
    <row r="30" spans="2:9" x14ac:dyDescent="0.25">
      <c r="B30" s="27" t="s">
        <v>222</v>
      </c>
      <c r="C30" s="32" t="s">
        <v>221</v>
      </c>
      <c r="D30" s="31" t="s">
        <v>221</v>
      </c>
      <c r="E30" s="31" t="s">
        <v>221</v>
      </c>
      <c r="F30" s="25" t="s">
        <v>221</v>
      </c>
      <c r="G30" s="25" t="s">
        <v>221</v>
      </c>
      <c r="H30" s="25" t="s">
        <v>221</v>
      </c>
      <c r="I30" s="24" t="s">
        <v>221</v>
      </c>
    </row>
    <row r="31" spans="2:9" x14ac:dyDescent="0.25">
      <c r="B31" s="27" t="s">
        <v>220</v>
      </c>
      <c r="C31" s="26" t="s">
        <v>60</v>
      </c>
      <c r="D31" s="25" t="s">
        <v>60</v>
      </c>
      <c r="E31" s="25" t="s">
        <v>60</v>
      </c>
      <c r="F31" s="25" t="s">
        <v>60</v>
      </c>
      <c r="G31" s="25" t="s">
        <v>60</v>
      </c>
      <c r="H31" s="25" t="s">
        <v>60</v>
      </c>
      <c r="I31" s="24" t="s">
        <v>60</v>
      </c>
    </row>
    <row r="32" spans="2:9" x14ac:dyDescent="0.25">
      <c r="B32" s="243" t="s">
        <v>219</v>
      </c>
      <c r="C32" s="26" t="s">
        <v>218</v>
      </c>
      <c r="D32" s="25" t="s">
        <v>217</v>
      </c>
      <c r="E32" s="29" t="s">
        <v>217</v>
      </c>
      <c r="F32" s="25" t="s">
        <v>216</v>
      </c>
      <c r="G32" s="25" t="s">
        <v>215</v>
      </c>
      <c r="H32" s="25" t="s">
        <v>214</v>
      </c>
      <c r="I32" s="24" t="s">
        <v>214</v>
      </c>
    </row>
    <row r="33" spans="2:9" x14ac:dyDescent="0.25">
      <c r="B33" s="244"/>
      <c r="C33" s="26" t="s">
        <v>213</v>
      </c>
      <c r="D33" s="35" t="s">
        <v>212</v>
      </c>
      <c r="E33" s="29" t="s">
        <v>212</v>
      </c>
      <c r="F33" s="35" t="s">
        <v>211</v>
      </c>
      <c r="G33" s="25" t="s">
        <v>210</v>
      </c>
      <c r="H33" s="25" t="s">
        <v>210</v>
      </c>
      <c r="I33" s="24" t="s">
        <v>210</v>
      </c>
    </row>
    <row r="34" spans="2:9" x14ac:dyDescent="0.25">
      <c r="B34" s="27" t="s">
        <v>209</v>
      </c>
      <c r="C34" s="32" t="s">
        <v>60</v>
      </c>
      <c r="D34" s="31" t="s">
        <v>60</v>
      </c>
      <c r="E34" s="31" t="s">
        <v>60</v>
      </c>
      <c r="F34" s="31" t="s">
        <v>60</v>
      </c>
      <c r="G34" s="31" t="s">
        <v>60</v>
      </c>
      <c r="H34" s="31" t="s">
        <v>60</v>
      </c>
      <c r="I34" s="24" t="s">
        <v>60</v>
      </c>
    </row>
    <row r="35" spans="2:9" x14ac:dyDescent="0.25">
      <c r="B35" s="27" t="s">
        <v>208</v>
      </c>
      <c r="C35" s="26" t="s">
        <v>207</v>
      </c>
      <c r="D35" s="25" t="s">
        <v>207</v>
      </c>
      <c r="E35" s="25" t="s">
        <v>207</v>
      </c>
      <c r="F35" s="25" t="s">
        <v>207</v>
      </c>
      <c r="G35" s="25" t="s">
        <v>207</v>
      </c>
      <c r="H35" s="25" t="s">
        <v>207</v>
      </c>
      <c r="I35" s="24" t="s">
        <v>207</v>
      </c>
    </row>
    <row r="36" spans="2:9" x14ac:dyDescent="0.25">
      <c r="B36" s="27" t="s">
        <v>206</v>
      </c>
      <c r="C36" s="30" t="s">
        <v>205</v>
      </c>
      <c r="D36" s="29" t="s">
        <v>205</v>
      </c>
      <c r="E36" s="29" t="s">
        <v>205</v>
      </c>
      <c r="F36" s="29" t="s">
        <v>205</v>
      </c>
      <c r="G36" s="29" t="s">
        <v>205</v>
      </c>
      <c r="H36" s="29" t="s">
        <v>204</v>
      </c>
      <c r="I36" s="28" t="s">
        <v>204</v>
      </c>
    </row>
    <row r="37" spans="2:9" x14ac:dyDescent="0.25">
      <c r="B37" s="27" t="s">
        <v>203</v>
      </c>
      <c r="C37" s="30" t="s">
        <v>55</v>
      </c>
      <c r="D37" s="29" t="s">
        <v>55</v>
      </c>
      <c r="E37" s="29" t="s">
        <v>55</v>
      </c>
      <c r="F37" s="29" t="s">
        <v>55</v>
      </c>
      <c r="G37" s="29" t="s">
        <v>55</v>
      </c>
      <c r="H37" s="29" t="s">
        <v>55</v>
      </c>
      <c r="I37" s="28" t="s">
        <v>55</v>
      </c>
    </row>
    <row r="38" spans="2:9" x14ac:dyDescent="0.25">
      <c r="B38" s="27" t="s">
        <v>202</v>
      </c>
      <c r="C38" s="26" t="s">
        <v>60</v>
      </c>
      <c r="D38" s="25" t="s">
        <v>60</v>
      </c>
      <c r="E38" s="25" t="s">
        <v>60</v>
      </c>
      <c r="F38" s="25" t="s">
        <v>60</v>
      </c>
      <c r="G38" s="25" t="s">
        <v>60</v>
      </c>
      <c r="H38" s="25" t="s">
        <v>60</v>
      </c>
      <c r="I38" s="24" t="s">
        <v>60</v>
      </c>
    </row>
    <row r="39" spans="2:9" x14ac:dyDescent="0.25">
      <c r="B39" s="27" t="s">
        <v>201</v>
      </c>
      <c r="C39" s="30">
        <v>14</v>
      </c>
      <c r="D39" s="29">
        <v>18.5</v>
      </c>
      <c r="E39" s="29">
        <v>14</v>
      </c>
      <c r="F39" s="29">
        <v>14</v>
      </c>
      <c r="G39" s="29">
        <v>18</v>
      </c>
      <c r="H39" s="29">
        <v>21.6</v>
      </c>
      <c r="I39" s="28">
        <v>21.6</v>
      </c>
    </row>
    <row r="40" spans="2:9" x14ac:dyDescent="0.25">
      <c r="B40" s="27" t="s">
        <v>200</v>
      </c>
      <c r="C40" s="32">
        <v>50</v>
      </c>
      <c r="D40" s="31">
        <v>50</v>
      </c>
      <c r="E40" s="31">
        <v>50</v>
      </c>
      <c r="F40" s="31">
        <v>50</v>
      </c>
      <c r="G40" s="31">
        <v>50</v>
      </c>
      <c r="H40" s="31">
        <v>50</v>
      </c>
      <c r="I40" s="24">
        <v>50</v>
      </c>
    </row>
    <row r="41" spans="2:9" x14ac:dyDescent="0.25">
      <c r="B41" s="27" t="s">
        <v>199</v>
      </c>
      <c r="C41" s="32" t="s">
        <v>60</v>
      </c>
      <c r="D41" s="31" t="s">
        <v>60</v>
      </c>
      <c r="E41" s="31" t="s">
        <v>60</v>
      </c>
      <c r="F41" s="31" t="s">
        <v>60</v>
      </c>
      <c r="G41" s="31" t="s">
        <v>60</v>
      </c>
      <c r="H41" s="31" t="s">
        <v>60</v>
      </c>
      <c r="I41" s="24" t="s">
        <v>60</v>
      </c>
    </row>
    <row r="42" spans="2:9" x14ac:dyDescent="0.25">
      <c r="B42" s="27" t="s">
        <v>198</v>
      </c>
      <c r="C42" s="32" t="s">
        <v>60</v>
      </c>
      <c r="D42" s="31" t="s">
        <v>60</v>
      </c>
      <c r="E42" s="31" t="s">
        <v>60</v>
      </c>
      <c r="F42" s="31" t="s">
        <v>60</v>
      </c>
      <c r="G42" s="31" t="s">
        <v>60</v>
      </c>
      <c r="H42" s="31" t="s">
        <v>60</v>
      </c>
      <c r="I42" s="24" t="s">
        <v>60</v>
      </c>
    </row>
    <row r="43" spans="2:9" x14ac:dyDescent="0.25">
      <c r="B43" s="27" t="s">
        <v>197</v>
      </c>
      <c r="C43" s="30">
        <v>6</v>
      </c>
      <c r="D43" s="29">
        <v>6</v>
      </c>
      <c r="E43" s="29">
        <v>7</v>
      </c>
      <c r="F43" s="29">
        <v>7</v>
      </c>
      <c r="G43" s="29">
        <v>6</v>
      </c>
      <c r="H43" s="29">
        <v>6</v>
      </c>
      <c r="I43" s="28">
        <v>6</v>
      </c>
    </row>
    <row r="44" spans="2:9" x14ac:dyDescent="0.25">
      <c r="B44" s="27" t="s">
        <v>196</v>
      </c>
      <c r="C44" s="26" t="s">
        <v>195</v>
      </c>
      <c r="D44" s="25" t="s">
        <v>195</v>
      </c>
      <c r="E44" s="25" t="s">
        <v>195</v>
      </c>
      <c r="F44" s="25" t="s">
        <v>195</v>
      </c>
      <c r="G44" s="25" t="s">
        <v>195</v>
      </c>
      <c r="H44" s="25" t="s">
        <v>195</v>
      </c>
      <c r="I44" s="24" t="s">
        <v>195</v>
      </c>
    </row>
    <row r="45" spans="2:9" x14ac:dyDescent="0.25">
      <c r="B45" s="27" t="s">
        <v>194</v>
      </c>
      <c r="C45" s="32" t="s">
        <v>192</v>
      </c>
      <c r="D45" s="31" t="s">
        <v>193</v>
      </c>
      <c r="E45" s="31" t="s">
        <v>192</v>
      </c>
      <c r="F45" s="31" t="s">
        <v>192</v>
      </c>
      <c r="G45" s="31" t="s">
        <v>192</v>
      </c>
      <c r="H45" s="31" t="s">
        <v>192</v>
      </c>
      <c r="I45" s="24" t="s">
        <v>192</v>
      </c>
    </row>
    <row r="46" spans="2:9" x14ac:dyDescent="0.25">
      <c r="B46" s="27" t="s">
        <v>191</v>
      </c>
      <c r="C46" s="26" t="s">
        <v>190</v>
      </c>
      <c r="D46" s="25" t="s">
        <v>190</v>
      </c>
      <c r="E46" s="25" t="s">
        <v>190</v>
      </c>
      <c r="F46" s="25" t="s">
        <v>190</v>
      </c>
      <c r="G46" s="25" t="s">
        <v>190</v>
      </c>
      <c r="H46" s="25" t="s">
        <v>190</v>
      </c>
      <c r="I46" s="24" t="s">
        <v>190</v>
      </c>
    </row>
    <row r="47" spans="2:9" x14ac:dyDescent="0.25">
      <c r="B47" s="27" t="s">
        <v>189</v>
      </c>
      <c r="C47" s="26" t="s">
        <v>188</v>
      </c>
      <c r="D47" s="25" t="s">
        <v>188</v>
      </c>
      <c r="E47" s="25" t="s">
        <v>188</v>
      </c>
      <c r="F47" s="25" t="s">
        <v>188</v>
      </c>
      <c r="G47" s="25" t="s">
        <v>188</v>
      </c>
      <c r="H47" s="25" t="s">
        <v>188</v>
      </c>
      <c r="I47" s="24" t="s">
        <v>188</v>
      </c>
    </row>
    <row r="48" spans="2:9" x14ac:dyDescent="0.25">
      <c r="B48" s="27" t="s">
        <v>187</v>
      </c>
      <c r="C48" s="34">
        <v>9</v>
      </c>
      <c r="D48" s="33">
        <v>9</v>
      </c>
      <c r="E48" s="29">
        <v>9</v>
      </c>
      <c r="F48" s="29">
        <v>9</v>
      </c>
      <c r="G48" s="29">
        <v>11</v>
      </c>
      <c r="H48" s="33">
        <v>11</v>
      </c>
      <c r="I48" s="28">
        <v>11</v>
      </c>
    </row>
    <row r="49" spans="2:9" x14ac:dyDescent="0.25">
      <c r="B49" s="27" t="s">
        <v>186</v>
      </c>
      <c r="C49" s="32">
        <v>1</v>
      </c>
      <c r="D49" s="31">
        <v>1</v>
      </c>
      <c r="E49" s="31">
        <v>1</v>
      </c>
      <c r="F49" s="31">
        <v>1</v>
      </c>
      <c r="G49" s="31">
        <v>1</v>
      </c>
      <c r="H49" s="31">
        <v>1</v>
      </c>
      <c r="I49" s="24">
        <v>1</v>
      </c>
    </row>
    <row r="50" spans="2:9" x14ac:dyDescent="0.25">
      <c r="B50" s="27" t="s">
        <v>185</v>
      </c>
      <c r="C50" s="26">
        <v>12.5</v>
      </c>
      <c r="D50" s="25">
        <v>16.5</v>
      </c>
      <c r="E50" s="25">
        <v>16.5</v>
      </c>
      <c r="F50" s="25">
        <v>28</v>
      </c>
      <c r="G50" s="25">
        <v>28</v>
      </c>
      <c r="H50" s="25">
        <v>32</v>
      </c>
      <c r="I50" s="24">
        <v>32</v>
      </c>
    </row>
    <row r="51" spans="2:9" x14ac:dyDescent="0.25">
      <c r="B51" s="27" t="s">
        <v>184</v>
      </c>
      <c r="C51" s="32">
        <v>5.2</v>
      </c>
      <c r="D51" s="31">
        <v>7</v>
      </c>
      <c r="E51" s="25">
        <v>7</v>
      </c>
      <c r="F51" s="25">
        <v>10</v>
      </c>
      <c r="G51" s="25">
        <v>13</v>
      </c>
      <c r="H51" s="31">
        <v>13</v>
      </c>
      <c r="I51" s="24">
        <v>13</v>
      </c>
    </row>
    <row r="52" spans="2:9" x14ac:dyDescent="0.25">
      <c r="B52" s="27" t="s">
        <v>183</v>
      </c>
      <c r="C52" s="32" t="s">
        <v>182</v>
      </c>
      <c r="D52" s="31" t="s">
        <v>182</v>
      </c>
      <c r="E52" s="31" t="s">
        <v>182</v>
      </c>
      <c r="F52" s="31" t="s">
        <v>181</v>
      </c>
      <c r="G52" s="31" t="s">
        <v>181</v>
      </c>
      <c r="H52" s="31" t="s">
        <v>180</v>
      </c>
      <c r="I52" s="24" t="s">
        <v>180</v>
      </c>
    </row>
    <row r="53" spans="2:9" x14ac:dyDescent="0.25">
      <c r="B53" s="27" t="s">
        <v>179</v>
      </c>
      <c r="C53" s="32" t="s">
        <v>60</v>
      </c>
      <c r="D53" s="31" t="s">
        <v>60</v>
      </c>
      <c r="E53" s="31" t="s">
        <v>60</v>
      </c>
      <c r="F53" s="31" t="s">
        <v>60</v>
      </c>
      <c r="G53" s="31" t="s">
        <v>60</v>
      </c>
      <c r="H53" s="31" t="s">
        <v>60</v>
      </c>
      <c r="I53" s="24" t="s">
        <v>60</v>
      </c>
    </row>
    <row r="54" spans="2:9" x14ac:dyDescent="0.25">
      <c r="B54" s="27" t="s">
        <v>178</v>
      </c>
      <c r="C54" s="32" t="s">
        <v>177</v>
      </c>
      <c r="D54" s="31" t="s">
        <v>177</v>
      </c>
      <c r="E54" s="25" t="s">
        <v>177</v>
      </c>
      <c r="F54" s="31" t="s">
        <v>176</v>
      </c>
      <c r="G54" s="31" t="s">
        <v>177</v>
      </c>
      <c r="H54" s="31" t="s">
        <v>176</v>
      </c>
      <c r="I54" s="24" t="s">
        <v>176</v>
      </c>
    </row>
    <row r="55" spans="2:9" x14ac:dyDescent="0.25">
      <c r="B55" s="27" t="s">
        <v>175</v>
      </c>
      <c r="C55" s="32" t="s">
        <v>55</v>
      </c>
      <c r="D55" s="31" t="s">
        <v>55</v>
      </c>
      <c r="E55" s="31" t="s">
        <v>55</v>
      </c>
      <c r="F55" s="31" t="s">
        <v>55</v>
      </c>
      <c r="G55" s="31" t="s">
        <v>55</v>
      </c>
      <c r="H55" s="31" t="s">
        <v>55</v>
      </c>
      <c r="I55" s="24" t="s">
        <v>55</v>
      </c>
    </row>
    <row r="56" spans="2:9" x14ac:dyDescent="0.25">
      <c r="B56" s="27" t="s">
        <v>174</v>
      </c>
      <c r="C56" s="32" t="s">
        <v>60</v>
      </c>
      <c r="D56" s="31" t="s">
        <v>60</v>
      </c>
      <c r="E56" s="31" t="s">
        <v>60</v>
      </c>
      <c r="F56" s="31" t="s">
        <v>60</v>
      </c>
      <c r="G56" s="31" t="s">
        <v>60</v>
      </c>
      <c r="H56" s="31" t="s">
        <v>60</v>
      </c>
      <c r="I56" s="24" t="s">
        <v>60</v>
      </c>
    </row>
    <row r="57" spans="2:9" x14ac:dyDescent="0.25">
      <c r="B57" s="27" t="s">
        <v>173</v>
      </c>
      <c r="C57" s="26" t="s">
        <v>172</v>
      </c>
      <c r="D57" s="25" t="s">
        <v>172</v>
      </c>
      <c r="E57" s="25" t="s">
        <v>172</v>
      </c>
      <c r="F57" s="25" t="s">
        <v>172</v>
      </c>
      <c r="G57" s="25" t="s">
        <v>172</v>
      </c>
      <c r="H57" s="25" t="s">
        <v>172</v>
      </c>
      <c r="I57" s="24" t="s">
        <v>172</v>
      </c>
    </row>
    <row r="58" spans="2:9" x14ac:dyDescent="0.25">
      <c r="B58" s="27" t="s">
        <v>171</v>
      </c>
      <c r="C58" s="26" t="s">
        <v>170</v>
      </c>
      <c r="D58" s="25" t="s">
        <v>170</v>
      </c>
      <c r="E58" s="25" t="s">
        <v>170</v>
      </c>
      <c r="F58" s="25" t="s">
        <v>170</v>
      </c>
      <c r="G58" s="25" t="s">
        <v>170</v>
      </c>
      <c r="H58" s="25" t="s">
        <v>170</v>
      </c>
      <c r="I58" s="24" t="s">
        <v>170</v>
      </c>
    </row>
    <row r="59" spans="2:9" x14ac:dyDescent="0.25">
      <c r="B59" s="27" t="s">
        <v>169</v>
      </c>
      <c r="C59" s="26" t="s">
        <v>168</v>
      </c>
      <c r="D59" s="25" t="s">
        <v>168</v>
      </c>
      <c r="E59" s="25" t="s">
        <v>168</v>
      </c>
      <c r="F59" s="25" t="s">
        <v>167</v>
      </c>
      <c r="G59" s="25" t="s">
        <v>167</v>
      </c>
      <c r="H59" s="25" t="s">
        <v>166</v>
      </c>
      <c r="I59" s="24" t="s">
        <v>166</v>
      </c>
    </row>
    <row r="60" spans="2:9" x14ac:dyDescent="0.25">
      <c r="B60" s="27" t="s">
        <v>165</v>
      </c>
      <c r="C60" s="32" t="s">
        <v>164</v>
      </c>
      <c r="D60" s="31" t="s">
        <v>164</v>
      </c>
      <c r="E60" s="31" t="s">
        <v>164</v>
      </c>
      <c r="F60" s="31" t="s">
        <v>164</v>
      </c>
      <c r="G60" s="31" t="s">
        <v>164</v>
      </c>
      <c r="H60" s="31" t="s">
        <v>164</v>
      </c>
      <c r="I60" s="24" t="s">
        <v>164</v>
      </c>
    </row>
    <row r="61" spans="2:9" x14ac:dyDescent="0.25">
      <c r="B61" s="27" t="s">
        <v>163</v>
      </c>
      <c r="C61" s="32" t="s">
        <v>162</v>
      </c>
      <c r="D61" s="31" t="s">
        <v>162</v>
      </c>
      <c r="E61" s="31" t="s">
        <v>162</v>
      </c>
      <c r="F61" s="31" t="s">
        <v>162</v>
      </c>
      <c r="G61" s="31" t="s">
        <v>162</v>
      </c>
      <c r="H61" s="31" t="s">
        <v>162</v>
      </c>
      <c r="I61" s="24" t="s">
        <v>162</v>
      </c>
    </row>
    <row r="62" spans="2:9" x14ac:dyDescent="0.25">
      <c r="B62" s="27" t="s">
        <v>161</v>
      </c>
      <c r="C62" s="32" t="s">
        <v>55</v>
      </c>
      <c r="D62" s="31" t="s">
        <v>55</v>
      </c>
      <c r="E62" s="31" t="s">
        <v>55</v>
      </c>
      <c r="F62" s="31" t="s">
        <v>55</v>
      </c>
      <c r="G62" s="31" t="s">
        <v>55</v>
      </c>
      <c r="H62" s="31" t="s">
        <v>55</v>
      </c>
      <c r="I62" s="24" t="s">
        <v>55</v>
      </c>
    </row>
    <row r="63" spans="2:9" x14ac:dyDescent="0.25">
      <c r="B63" s="27" t="s">
        <v>160</v>
      </c>
      <c r="C63" s="32" t="s">
        <v>159</v>
      </c>
      <c r="D63" s="31" t="s">
        <v>159</v>
      </c>
      <c r="E63" s="31" t="s">
        <v>159</v>
      </c>
      <c r="F63" s="31" t="s">
        <v>159</v>
      </c>
      <c r="G63" s="31" t="s">
        <v>159</v>
      </c>
      <c r="H63" s="31" t="s">
        <v>159</v>
      </c>
      <c r="I63" s="24" t="s">
        <v>159</v>
      </c>
    </row>
    <row r="64" spans="2:9" x14ac:dyDescent="0.25">
      <c r="B64" s="27" t="s">
        <v>158</v>
      </c>
      <c r="C64" s="30" t="s">
        <v>157</v>
      </c>
      <c r="D64" s="29" t="s">
        <v>157</v>
      </c>
      <c r="E64" s="29" t="s">
        <v>157</v>
      </c>
      <c r="F64" s="29" t="s">
        <v>157</v>
      </c>
      <c r="G64" s="29" t="s">
        <v>157</v>
      </c>
      <c r="H64" s="29" t="s">
        <v>157</v>
      </c>
      <c r="I64" s="28" t="s">
        <v>157</v>
      </c>
    </row>
    <row r="65" spans="2:9" x14ac:dyDescent="0.25">
      <c r="B65" s="27" t="s">
        <v>156</v>
      </c>
      <c r="C65" s="26" t="s">
        <v>60</v>
      </c>
      <c r="D65" s="25" t="s">
        <v>60</v>
      </c>
      <c r="E65" s="25" t="s">
        <v>60</v>
      </c>
      <c r="F65" s="25" t="s">
        <v>60</v>
      </c>
      <c r="G65" s="25" t="s">
        <v>60</v>
      </c>
      <c r="H65" s="25" t="s">
        <v>60</v>
      </c>
      <c r="I65" s="24" t="s">
        <v>60</v>
      </c>
    </row>
    <row r="66" spans="2:9" ht="15.75" thickBot="1" x14ac:dyDescent="0.3">
      <c r="B66" s="23" t="s">
        <v>155</v>
      </c>
      <c r="C66" s="22" t="s">
        <v>55</v>
      </c>
      <c r="D66" s="21" t="s">
        <v>55</v>
      </c>
      <c r="E66" s="21" t="s">
        <v>55</v>
      </c>
      <c r="F66" s="20" t="s">
        <v>55</v>
      </c>
      <c r="G66" s="20" t="s">
        <v>55</v>
      </c>
      <c r="H66" s="20" t="s">
        <v>55</v>
      </c>
      <c r="I66" s="19" t="s">
        <v>55</v>
      </c>
    </row>
  </sheetData>
  <mergeCells count="1">
    <mergeCell ref="B32:B3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J57"/>
  <sheetViews>
    <sheetView zoomScale="85" zoomScaleNormal="85" workbookViewId="0">
      <selection activeCell="A36" sqref="A36:XFD36"/>
    </sheetView>
  </sheetViews>
  <sheetFormatPr defaultColWidth="10.85546875" defaultRowHeight="15" x14ac:dyDescent="0.25"/>
  <cols>
    <col min="1" max="1" width="67.7109375" style="76" customWidth="1"/>
    <col min="2" max="10" width="19.5703125" style="76" customWidth="1"/>
    <col min="11" max="16384" width="10.85546875" style="76"/>
  </cols>
  <sheetData>
    <row r="1" spans="1:10" ht="18.75" x14ac:dyDescent="0.25">
      <c r="A1" s="248" t="s">
        <v>555</v>
      </c>
      <c r="B1" s="248"/>
      <c r="C1" s="248"/>
      <c r="D1" s="248"/>
      <c r="E1" s="248"/>
      <c r="F1" s="248"/>
      <c r="G1" s="248"/>
      <c r="H1" s="248"/>
      <c r="I1" s="248"/>
      <c r="J1" s="248"/>
    </row>
    <row r="2" spans="1:10" ht="15.75" x14ac:dyDescent="0.25">
      <c r="A2" s="81" t="s">
        <v>554</v>
      </c>
      <c r="B2" s="79" t="s">
        <v>553</v>
      </c>
      <c r="C2" s="80" t="s">
        <v>553</v>
      </c>
      <c r="D2" s="80" t="s">
        <v>553</v>
      </c>
      <c r="E2" s="79" t="s">
        <v>552</v>
      </c>
      <c r="F2" s="79" t="s">
        <v>552</v>
      </c>
      <c r="G2" s="79" t="s">
        <v>552</v>
      </c>
      <c r="H2" s="79" t="s">
        <v>551</v>
      </c>
      <c r="I2" s="79" t="s">
        <v>551</v>
      </c>
      <c r="J2" s="79" t="s">
        <v>551</v>
      </c>
    </row>
    <row r="3" spans="1:10" ht="15.75" x14ac:dyDescent="0.25">
      <c r="A3" s="81" t="s">
        <v>550</v>
      </c>
      <c r="B3" s="79" t="s">
        <v>549</v>
      </c>
      <c r="C3" s="80" t="s">
        <v>549</v>
      </c>
      <c r="D3" s="80" t="s">
        <v>549</v>
      </c>
      <c r="E3" s="79" t="s">
        <v>548</v>
      </c>
      <c r="F3" s="79" t="s">
        <v>548</v>
      </c>
      <c r="G3" s="79" t="s">
        <v>548</v>
      </c>
      <c r="H3" s="79" t="s">
        <v>547</v>
      </c>
      <c r="I3" s="79" t="s">
        <v>547</v>
      </c>
      <c r="J3" s="79" t="s">
        <v>547</v>
      </c>
    </row>
    <row r="4" spans="1:10" ht="15.75" x14ac:dyDescent="0.25">
      <c r="A4" s="81" t="s">
        <v>546</v>
      </c>
      <c r="B4" s="79" t="s">
        <v>545</v>
      </c>
      <c r="C4" s="80" t="s">
        <v>545</v>
      </c>
      <c r="D4" s="80" t="s">
        <v>544</v>
      </c>
      <c r="E4" s="79" t="s">
        <v>543</v>
      </c>
      <c r="F4" s="79" t="s">
        <v>543</v>
      </c>
      <c r="G4" s="79" t="s">
        <v>543</v>
      </c>
      <c r="H4" s="79" t="s">
        <v>542</v>
      </c>
      <c r="I4" s="79" t="s">
        <v>542</v>
      </c>
      <c r="J4" s="79" t="s">
        <v>541</v>
      </c>
    </row>
    <row r="5" spans="1:10" ht="15.75" x14ac:dyDescent="0.25">
      <c r="A5" s="81" t="s">
        <v>540</v>
      </c>
      <c r="B5" s="79" t="s">
        <v>539</v>
      </c>
      <c r="C5" s="80" t="s">
        <v>538</v>
      </c>
      <c r="D5" s="80" t="s">
        <v>538</v>
      </c>
      <c r="E5" s="79" t="s">
        <v>539</v>
      </c>
      <c r="F5" s="79" t="s">
        <v>538</v>
      </c>
      <c r="G5" s="79" t="s">
        <v>538</v>
      </c>
      <c r="H5" s="79" t="s">
        <v>539</v>
      </c>
      <c r="I5" s="79" t="s">
        <v>538</v>
      </c>
      <c r="J5" s="79" t="s">
        <v>538</v>
      </c>
    </row>
    <row r="6" spans="1:10" ht="15.75" x14ac:dyDescent="0.25">
      <c r="A6" s="81" t="s">
        <v>537</v>
      </c>
      <c r="B6" s="80" t="s">
        <v>536</v>
      </c>
      <c r="C6" s="80" t="s">
        <v>536</v>
      </c>
      <c r="D6" s="80" t="s">
        <v>535</v>
      </c>
      <c r="E6" s="79" t="s">
        <v>536</v>
      </c>
      <c r="F6" s="80" t="s">
        <v>536</v>
      </c>
      <c r="G6" s="80" t="s">
        <v>535</v>
      </c>
      <c r="H6" s="79" t="s">
        <v>536</v>
      </c>
      <c r="I6" s="80" t="s">
        <v>536</v>
      </c>
      <c r="J6" s="80" t="s">
        <v>535</v>
      </c>
    </row>
    <row r="7" spans="1:10" ht="15.75" x14ac:dyDescent="0.25">
      <c r="A7" s="86" t="s">
        <v>534</v>
      </c>
      <c r="B7" s="93">
        <v>0.4</v>
      </c>
      <c r="C7" s="93">
        <v>0.4</v>
      </c>
      <c r="D7" s="93">
        <v>0.4</v>
      </c>
      <c r="E7" s="93">
        <v>0.4</v>
      </c>
      <c r="F7" s="93">
        <v>0.4</v>
      </c>
      <c r="G7" s="93">
        <v>0.4</v>
      </c>
      <c r="H7" s="93">
        <v>0.4</v>
      </c>
      <c r="I7" s="93">
        <v>0.4</v>
      </c>
      <c r="J7" s="93">
        <v>0.4</v>
      </c>
    </row>
    <row r="8" spans="1:10" ht="15.75" x14ac:dyDescent="0.25">
      <c r="A8" s="81"/>
      <c r="B8" s="83"/>
      <c r="C8" s="84"/>
      <c r="D8" s="84"/>
      <c r="E8" s="82"/>
      <c r="F8" s="83"/>
      <c r="G8" s="83"/>
      <c r="H8" s="82"/>
      <c r="I8" s="82"/>
      <c r="J8" s="82"/>
    </row>
    <row r="9" spans="1:10" ht="15.75" x14ac:dyDescent="0.25">
      <c r="A9" s="81" t="s">
        <v>533</v>
      </c>
      <c r="B9" s="79" t="s">
        <v>532</v>
      </c>
      <c r="C9" s="80" t="s">
        <v>532</v>
      </c>
      <c r="D9" s="80" t="s">
        <v>531</v>
      </c>
      <c r="E9" s="79" t="s">
        <v>530</v>
      </c>
      <c r="F9" s="79" t="s">
        <v>529</v>
      </c>
      <c r="G9" s="79" t="s">
        <v>528</v>
      </c>
      <c r="H9" s="79" t="s">
        <v>527</v>
      </c>
      <c r="I9" s="79" t="s">
        <v>527</v>
      </c>
      <c r="J9" s="79" t="s">
        <v>526</v>
      </c>
    </row>
    <row r="10" spans="1:10" ht="15.75" x14ac:dyDescent="0.25">
      <c r="A10" s="81" t="s">
        <v>525</v>
      </c>
      <c r="B10" s="79" t="s">
        <v>524</v>
      </c>
      <c r="C10" s="80" t="s">
        <v>524</v>
      </c>
      <c r="D10" s="80" t="s">
        <v>523</v>
      </c>
      <c r="E10" s="79" t="s">
        <v>522</v>
      </c>
      <c r="F10" s="79" t="s">
        <v>521</v>
      </c>
      <c r="G10" s="79" t="s">
        <v>520</v>
      </c>
      <c r="H10" s="79" t="s">
        <v>519</v>
      </c>
      <c r="I10" s="79" t="s">
        <v>519</v>
      </c>
      <c r="J10" s="79" t="s">
        <v>518</v>
      </c>
    </row>
    <row r="11" spans="1:10" ht="15.75" x14ac:dyDescent="0.25">
      <c r="A11" s="81"/>
      <c r="B11" s="83"/>
      <c r="C11" s="84"/>
      <c r="D11" s="84"/>
      <c r="E11" s="82"/>
      <c r="F11" s="83"/>
      <c r="G11" s="83"/>
      <c r="H11" s="82"/>
      <c r="I11" s="82"/>
      <c r="J11" s="82"/>
    </row>
    <row r="12" spans="1:10" ht="18.75" x14ac:dyDescent="0.25">
      <c r="A12" s="248" t="s">
        <v>517</v>
      </c>
      <c r="B12" s="248"/>
      <c r="C12" s="248"/>
      <c r="D12" s="248"/>
      <c r="E12" s="248"/>
      <c r="F12" s="248"/>
      <c r="G12" s="248"/>
      <c r="H12" s="248"/>
      <c r="I12" s="248"/>
      <c r="J12" s="248"/>
    </row>
    <row r="13" spans="1:10" ht="15.75" x14ac:dyDescent="0.25">
      <c r="A13" s="81" t="s">
        <v>516</v>
      </c>
      <c r="B13" s="79" t="s">
        <v>515</v>
      </c>
      <c r="C13" s="79" t="s">
        <v>515</v>
      </c>
      <c r="D13" s="80" t="s">
        <v>514</v>
      </c>
      <c r="E13" s="79" t="s">
        <v>515</v>
      </c>
      <c r="F13" s="79" t="s">
        <v>515</v>
      </c>
      <c r="G13" s="79" t="s">
        <v>514</v>
      </c>
      <c r="H13" s="79" t="s">
        <v>514</v>
      </c>
      <c r="I13" s="79" t="s">
        <v>515</v>
      </c>
      <c r="J13" s="79" t="s">
        <v>514</v>
      </c>
    </row>
    <row r="14" spans="1:10" ht="15.75" x14ac:dyDescent="0.25">
      <c r="A14" s="81" t="s">
        <v>513</v>
      </c>
      <c r="B14" s="79" t="s">
        <v>512</v>
      </c>
      <c r="C14" s="80" t="s">
        <v>512</v>
      </c>
      <c r="D14" s="80" t="s">
        <v>511</v>
      </c>
      <c r="E14" s="79" t="s">
        <v>512</v>
      </c>
      <c r="F14" s="79" t="s">
        <v>512</v>
      </c>
      <c r="G14" s="79" t="s">
        <v>511</v>
      </c>
      <c r="H14" s="79" t="s">
        <v>512</v>
      </c>
      <c r="I14" s="79" t="s">
        <v>512</v>
      </c>
      <c r="J14" s="79" t="s">
        <v>511</v>
      </c>
    </row>
    <row r="15" spans="1:10" ht="15.75" x14ac:dyDescent="0.25">
      <c r="A15" s="81" t="s">
        <v>510</v>
      </c>
      <c r="B15" s="80">
        <v>5</v>
      </c>
      <c r="C15" s="80">
        <v>5</v>
      </c>
      <c r="D15" s="80">
        <v>4</v>
      </c>
      <c r="E15" s="79">
        <v>6</v>
      </c>
      <c r="F15" s="79">
        <v>6</v>
      </c>
      <c r="G15" s="79">
        <v>4</v>
      </c>
      <c r="H15" s="80">
        <v>10</v>
      </c>
      <c r="I15" s="79">
        <v>10</v>
      </c>
      <c r="J15" s="79">
        <v>6</v>
      </c>
    </row>
    <row r="16" spans="1:10" ht="15.75" x14ac:dyDescent="0.25">
      <c r="A16" s="81" t="s">
        <v>509</v>
      </c>
      <c r="B16" s="79" t="s">
        <v>508</v>
      </c>
      <c r="C16" s="80" t="s">
        <v>507</v>
      </c>
      <c r="D16" s="80" t="s">
        <v>506</v>
      </c>
      <c r="E16" s="79" t="s">
        <v>507</v>
      </c>
      <c r="F16" s="79" t="s">
        <v>507</v>
      </c>
      <c r="G16" s="79" t="s">
        <v>506</v>
      </c>
      <c r="H16" s="79" t="s">
        <v>505</v>
      </c>
      <c r="I16" s="79" t="s">
        <v>505</v>
      </c>
      <c r="J16" s="79" t="s">
        <v>505</v>
      </c>
    </row>
    <row r="17" spans="1:10" ht="15.75" x14ac:dyDescent="0.25">
      <c r="A17" s="81" t="s">
        <v>504</v>
      </c>
      <c r="B17" s="79">
        <v>1</v>
      </c>
      <c r="C17" s="80">
        <v>1</v>
      </c>
      <c r="D17" s="80">
        <v>1</v>
      </c>
      <c r="E17" s="79">
        <v>1</v>
      </c>
      <c r="F17" s="79">
        <v>1</v>
      </c>
      <c r="G17" s="79">
        <v>1</v>
      </c>
      <c r="H17" s="79">
        <v>1</v>
      </c>
      <c r="I17" s="79">
        <v>1</v>
      </c>
      <c r="J17" s="79">
        <v>1</v>
      </c>
    </row>
    <row r="18" spans="1:10" ht="15.75" x14ac:dyDescent="0.25">
      <c r="A18" s="81" t="s">
        <v>503</v>
      </c>
      <c r="B18" s="79" t="s">
        <v>502</v>
      </c>
      <c r="C18" s="80" t="s">
        <v>502</v>
      </c>
      <c r="D18" s="80" t="s">
        <v>501</v>
      </c>
      <c r="E18" s="79" t="s">
        <v>502</v>
      </c>
      <c r="F18" s="79" t="s">
        <v>502</v>
      </c>
      <c r="G18" s="79" t="s">
        <v>501</v>
      </c>
      <c r="H18" s="79" t="s">
        <v>500</v>
      </c>
      <c r="I18" s="79" t="s">
        <v>500</v>
      </c>
      <c r="J18" s="79" t="s">
        <v>500</v>
      </c>
    </row>
    <row r="19" spans="1:10" ht="18.75" x14ac:dyDescent="0.25">
      <c r="A19" s="248" t="s">
        <v>499</v>
      </c>
      <c r="B19" s="248"/>
      <c r="C19" s="248"/>
      <c r="D19" s="248"/>
      <c r="E19" s="248"/>
      <c r="F19" s="248"/>
      <c r="G19" s="248"/>
      <c r="H19" s="248"/>
      <c r="I19" s="248"/>
      <c r="J19" s="248"/>
    </row>
    <row r="20" spans="1:10" ht="15.75" x14ac:dyDescent="0.25">
      <c r="A20" s="81" t="s">
        <v>498</v>
      </c>
      <c r="B20" s="79" t="s">
        <v>497</v>
      </c>
      <c r="C20" s="79" t="s">
        <v>497</v>
      </c>
      <c r="D20" s="79" t="s">
        <v>497</v>
      </c>
      <c r="E20" s="79" t="s">
        <v>497</v>
      </c>
      <c r="F20" s="79" t="s">
        <v>497</v>
      </c>
      <c r="G20" s="79" t="s">
        <v>497</v>
      </c>
      <c r="H20" s="79" t="s">
        <v>497</v>
      </c>
      <c r="I20" s="79" t="s">
        <v>230</v>
      </c>
      <c r="J20" s="79" t="s">
        <v>230</v>
      </c>
    </row>
    <row r="21" spans="1:10" ht="15.75" x14ac:dyDescent="0.25">
      <c r="A21" s="81" t="s">
        <v>496</v>
      </c>
      <c r="B21" s="79">
        <v>240</v>
      </c>
      <c r="C21" s="80">
        <v>240</v>
      </c>
      <c r="D21" s="80">
        <v>320</v>
      </c>
      <c r="E21" s="79">
        <v>240</v>
      </c>
      <c r="F21" s="80">
        <v>240</v>
      </c>
      <c r="G21" s="80">
        <v>320</v>
      </c>
      <c r="H21" s="79">
        <v>240</v>
      </c>
      <c r="I21" s="80">
        <v>240</v>
      </c>
      <c r="J21" s="80">
        <v>320</v>
      </c>
    </row>
    <row r="22" spans="1:10" ht="15.75" x14ac:dyDescent="0.25">
      <c r="A22" s="81" t="s">
        <v>495</v>
      </c>
      <c r="B22" s="79">
        <v>100</v>
      </c>
      <c r="C22" s="79">
        <v>100</v>
      </c>
      <c r="D22" s="79">
        <v>100</v>
      </c>
      <c r="E22" s="79">
        <v>100</v>
      </c>
      <c r="F22" s="79">
        <v>100</v>
      </c>
      <c r="G22" s="79">
        <v>100</v>
      </c>
      <c r="H22" s="79">
        <v>100</v>
      </c>
      <c r="I22" s="79">
        <v>100</v>
      </c>
      <c r="J22" s="79">
        <v>100</v>
      </c>
    </row>
    <row r="23" spans="1:10" ht="15.75" x14ac:dyDescent="0.25">
      <c r="A23" s="81" t="s">
        <v>494</v>
      </c>
      <c r="B23" s="79" t="s">
        <v>493</v>
      </c>
      <c r="C23" s="80" t="s">
        <v>493</v>
      </c>
      <c r="D23" s="80" t="s">
        <v>493</v>
      </c>
      <c r="E23" s="79" t="s">
        <v>493</v>
      </c>
      <c r="F23" s="79" t="s">
        <v>493</v>
      </c>
      <c r="G23" s="79" t="s">
        <v>493</v>
      </c>
      <c r="H23" s="79" t="s">
        <v>493</v>
      </c>
      <c r="I23" s="79" t="s">
        <v>493</v>
      </c>
      <c r="J23" s="79" t="s">
        <v>493</v>
      </c>
    </row>
    <row r="24" spans="1:10" x14ac:dyDescent="0.25">
      <c r="B24" s="92"/>
      <c r="C24" s="92"/>
      <c r="D24" s="92"/>
      <c r="E24" s="92"/>
      <c r="F24" s="92"/>
      <c r="G24" s="92"/>
      <c r="H24" s="92"/>
      <c r="I24" s="92"/>
      <c r="J24" s="92"/>
    </row>
    <row r="25" spans="1:10" ht="15.75" x14ac:dyDescent="0.25">
      <c r="A25" s="81" t="s">
        <v>492</v>
      </c>
      <c r="B25" s="79" t="s">
        <v>491</v>
      </c>
      <c r="C25" s="79" t="s">
        <v>490</v>
      </c>
      <c r="D25" s="80" t="s">
        <v>489</v>
      </c>
      <c r="E25" s="79" t="s">
        <v>488</v>
      </c>
      <c r="F25" s="79" t="s">
        <v>487</v>
      </c>
      <c r="G25" s="79" t="s">
        <v>486</v>
      </c>
      <c r="H25" s="79" t="s">
        <v>485</v>
      </c>
      <c r="I25" s="79" t="s">
        <v>484</v>
      </c>
      <c r="J25" s="79" t="s">
        <v>483</v>
      </c>
    </row>
    <row r="26" spans="1:10" ht="15.75" x14ac:dyDescent="0.25">
      <c r="A26" s="81" t="s">
        <v>482</v>
      </c>
      <c r="B26" s="90" t="s">
        <v>481</v>
      </c>
      <c r="C26" s="91" t="s">
        <v>480</v>
      </c>
      <c r="D26" s="91" t="s">
        <v>477</v>
      </c>
      <c r="E26" s="90" t="s">
        <v>479</v>
      </c>
      <c r="F26" s="90" t="s">
        <v>478</v>
      </c>
      <c r="G26" s="90" t="s">
        <v>477</v>
      </c>
      <c r="H26" s="90" t="s">
        <v>476</v>
      </c>
      <c r="I26" s="90" t="s">
        <v>475</v>
      </c>
      <c r="J26" s="90" t="s">
        <v>474</v>
      </c>
    </row>
    <row r="27" spans="1:10" ht="15.75" x14ac:dyDescent="0.25">
      <c r="A27" s="81"/>
      <c r="B27" s="83"/>
      <c r="C27" s="84"/>
      <c r="D27" s="84"/>
      <c r="E27" s="82"/>
      <c r="F27" s="83"/>
      <c r="G27" s="83"/>
      <c r="H27" s="82"/>
      <c r="I27" s="82"/>
      <c r="J27" s="82"/>
    </row>
    <row r="28" spans="1:10" ht="18.75" x14ac:dyDescent="0.25">
      <c r="A28" s="252" t="s">
        <v>473</v>
      </c>
      <c r="B28" s="252"/>
      <c r="C28" s="252"/>
      <c r="D28" s="252"/>
      <c r="E28" s="252"/>
      <c r="F28" s="252"/>
      <c r="G28" s="252"/>
      <c r="H28" s="252"/>
      <c r="I28" s="252"/>
      <c r="J28" s="252"/>
    </row>
    <row r="29" spans="1:10" ht="15.75" x14ac:dyDescent="0.25">
      <c r="A29" s="86" t="s">
        <v>472</v>
      </c>
      <c r="B29" s="79" t="s">
        <v>469</v>
      </c>
      <c r="C29" s="80" t="s">
        <v>469</v>
      </c>
      <c r="D29" s="80" t="s">
        <v>469</v>
      </c>
      <c r="E29" s="79" t="s">
        <v>469</v>
      </c>
      <c r="F29" s="79" t="s">
        <v>469</v>
      </c>
      <c r="G29" s="79" t="s">
        <v>469</v>
      </c>
      <c r="H29" s="79" t="s">
        <v>469</v>
      </c>
      <c r="I29" s="79" t="s">
        <v>469</v>
      </c>
      <c r="J29" s="79" t="s">
        <v>469</v>
      </c>
    </row>
    <row r="30" spans="1:10" ht="15.75" x14ac:dyDescent="0.25">
      <c r="A30" s="86" t="s">
        <v>471</v>
      </c>
      <c r="B30" s="79" t="s">
        <v>465</v>
      </c>
      <c r="C30" s="80" t="s">
        <v>466</v>
      </c>
      <c r="D30" s="80" t="s">
        <v>466</v>
      </c>
      <c r="E30" s="79" t="s">
        <v>463</v>
      </c>
      <c r="F30" s="79" t="s">
        <v>462</v>
      </c>
      <c r="G30" s="79" t="s">
        <v>462</v>
      </c>
      <c r="H30" s="79" t="s">
        <v>463</v>
      </c>
      <c r="I30" s="80" t="s">
        <v>462</v>
      </c>
      <c r="J30" s="80" t="s">
        <v>462</v>
      </c>
    </row>
    <row r="31" spans="1:10" ht="15.75" x14ac:dyDescent="0.25">
      <c r="A31" s="86" t="s">
        <v>470</v>
      </c>
      <c r="B31" s="79" t="s">
        <v>469</v>
      </c>
      <c r="C31" s="80" t="s">
        <v>469</v>
      </c>
      <c r="D31" s="80" t="s">
        <v>469</v>
      </c>
      <c r="E31" s="79" t="s">
        <v>469</v>
      </c>
      <c r="F31" s="79" t="s">
        <v>469</v>
      </c>
      <c r="G31" s="79" t="s">
        <v>469</v>
      </c>
      <c r="H31" s="79" t="s">
        <v>469</v>
      </c>
      <c r="I31" s="79" t="s">
        <v>469</v>
      </c>
      <c r="J31" s="79" t="s">
        <v>469</v>
      </c>
    </row>
    <row r="32" spans="1:10" ht="15.75" x14ac:dyDescent="0.25">
      <c r="A32" s="86" t="s">
        <v>468</v>
      </c>
      <c r="B32" s="79" t="s">
        <v>467</v>
      </c>
      <c r="C32" s="80" t="s">
        <v>466</v>
      </c>
      <c r="D32" s="80" t="s">
        <v>466</v>
      </c>
      <c r="E32" s="79" t="s">
        <v>465</v>
      </c>
      <c r="F32" s="79" t="s">
        <v>464</v>
      </c>
      <c r="G32" s="79" t="s">
        <v>464</v>
      </c>
      <c r="H32" s="79" t="s">
        <v>463</v>
      </c>
      <c r="I32" s="79" t="s">
        <v>462</v>
      </c>
      <c r="J32" s="79" t="s">
        <v>462</v>
      </c>
    </row>
    <row r="33" spans="1:10" ht="15.75" x14ac:dyDescent="0.25">
      <c r="A33" s="89"/>
      <c r="B33" s="87"/>
      <c r="C33" s="88"/>
      <c r="D33" s="88"/>
      <c r="E33" s="87"/>
      <c r="F33" s="87"/>
      <c r="G33" s="87"/>
      <c r="H33" s="87"/>
      <c r="I33" s="87"/>
      <c r="J33" s="87"/>
    </row>
    <row r="34" spans="1:10" ht="18.75" x14ac:dyDescent="0.25">
      <c r="A34" s="248" t="s">
        <v>461</v>
      </c>
      <c r="B34" s="248"/>
      <c r="C34" s="248"/>
      <c r="D34" s="248"/>
      <c r="E34" s="248"/>
      <c r="F34" s="248"/>
      <c r="G34" s="248"/>
      <c r="H34" s="248"/>
      <c r="I34" s="248"/>
      <c r="J34" s="248"/>
    </row>
    <row r="35" spans="1:10" ht="15.75" x14ac:dyDescent="0.25">
      <c r="A35" s="86" t="s">
        <v>460</v>
      </c>
      <c r="B35" s="79" t="s">
        <v>455</v>
      </c>
      <c r="C35" s="80" t="s">
        <v>459</v>
      </c>
      <c r="D35" s="80" t="s">
        <v>458</v>
      </c>
      <c r="E35" s="79" t="s">
        <v>455</v>
      </c>
      <c r="F35" s="79" t="s">
        <v>457</v>
      </c>
      <c r="G35" s="79" t="s">
        <v>454</v>
      </c>
      <c r="H35" s="79" t="s">
        <v>456</v>
      </c>
      <c r="I35" s="79" t="s">
        <v>455</v>
      </c>
      <c r="J35" s="79" t="s">
        <v>454</v>
      </c>
    </row>
    <row r="36" spans="1:10" ht="15.75" x14ac:dyDescent="0.25">
      <c r="A36" s="86" t="s">
        <v>453</v>
      </c>
      <c r="B36" s="79" t="s">
        <v>452</v>
      </c>
      <c r="C36" s="79" t="s">
        <v>451</v>
      </c>
      <c r="D36" s="79" t="s">
        <v>448</v>
      </c>
      <c r="E36" s="79" t="s">
        <v>450</v>
      </c>
      <c r="F36" s="79" t="s">
        <v>449</v>
      </c>
      <c r="G36" s="79" t="s">
        <v>448</v>
      </c>
      <c r="H36" s="79" t="s">
        <v>447</v>
      </c>
      <c r="I36" s="79" t="s">
        <v>446</v>
      </c>
      <c r="J36" s="79" t="s">
        <v>445</v>
      </c>
    </row>
    <row r="37" spans="1:10" ht="15.75" x14ac:dyDescent="0.25">
      <c r="A37" s="86" t="s">
        <v>444</v>
      </c>
      <c r="B37" s="79" t="s">
        <v>443</v>
      </c>
      <c r="C37" s="80" t="s">
        <v>442</v>
      </c>
      <c r="D37" s="80" t="s">
        <v>441</v>
      </c>
      <c r="E37" s="79" t="s">
        <v>440</v>
      </c>
      <c r="F37" s="79" t="s">
        <v>439</v>
      </c>
      <c r="G37" s="79" t="s">
        <v>438</v>
      </c>
      <c r="H37" s="79" t="s">
        <v>437</v>
      </c>
      <c r="I37" s="79" t="s">
        <v>436</v>
      </c>
      <c r="J37" s="79" t="s">
        <v>435</v>
      </c>
    </row>
    <row r="38" spans="1:10" ht="15.75" x14ac:dyDescent="0.25">
      <c r="A38" s="86" t="s">
        <v>434</v>
      </c>
      <c r="B38" s="79" t="s">
        <v>433</v>
      </c>
      <c r="C38" s="80" t="s">
        <v>432</v>
      </c>
      <c r="D38" s="80" t="s">
        <v>431</v>
      </c>
      <c r="E38" s="79" t="s">
        <v>430</v>
      </c>
      <c r="F38" s="79" t="s">
        <v>429</v>
      </c>
      <c r="G38" s="79" t="s">
        <v>428</v>
      </c>
      <c r="H38" s="79" t="s">
        <v>427</v>
      </c>
      <c r="I38" s="79" t="s">
        <v>426</v>
      </c>
      <c r="J38" s="79" t="s">
        <v>425</v>
      </c>
    </row>
    <row r="39" spans="1:10" ht="15.75" x14ac:dyDescent="0.25">
      <c r="A39" s="86" t="s">
        <v>424</v>
      </c>
      <c r="B39" s="79" t="s">
        <v>423</v>
      </c>
      <c r="C39" s="79" t="s">
        <v>422</v>
      </c>
      <c r="D39" s="79" t="s">
        <v>421</v>
      </c>
      <c r="E39" s="79" t="s">
        <v>420</v>
      </c>
      <c r="F39" s="79" t="s">
        <v>419</v>
      </c>
      <c r="G39" s="79" t="s">
        <v>418</v>
      </c>
      <c r="H39" s="79" t="s">
        <v>417</v>
      </c>
      <c r="I39" s="79" t="s">
        <v>416</v>
      </c>
      <c r="J39" s="79" t="s">
        <v>415</v>
      </c>
    </row>
    <row r="41" spans="1:10" ht="18.75" x14ac:dyDescent="0.25">
      <c r="A41" s="248" t="s">
        <v>414</v>
      </c>
      <c r="B41" s="248"/>
      <c r="C41" s="248"/>
      <c r="D41" s="248"/>
      <c r="E41" s="248"/>
      <c r="F41" s="248"/>
      <c r="G41" s="248"/>
      <c r="H41" s="248"/>
      <c r="I41" s="248"/>
      <c r="J41" s="248"/>
    </row>
    <row r="42" spans="1:10" ht="15.75" x14ac:dyDescent="0.25">
      <c r="A42" s="81" t="s">
        <v>413</v>
      </c>
      <c r="B42" s="79" t="s">
        <v>412</v>
      </c>
      <c r="C42" s="79" t="s">
        <v>412</v>
      </c>
      <c r="D42" s="79" t="s">
        <v>412</v>
      </c>
      <c r="E42" s="79" t="s">
        <v>412</v>
      </c>
      <c r="F42" s="79" t="s">
        <v>412</v>
      </c>
      <c r="G42" s="79" t="s">
        <v>412</v>
      </c>
      <c r="H42" s="79" t="s">
        <v>412</v>
      </c>
      <c r="I42" s="79" t="s">
        <v>412</v>
      </c>
      <c r="J42" s="79" t="s">
        <v>412</v>
      </c>
    </row>
    <row r="43" spans="1:10" ht="15.75" x14ac:dyDescent="0.25">
      <c r="A43" s="81" t="s">
        <v>411</v>
      </c>
      <c r="B43" s="79" t="s">
        <v>391</v>
      </c>
      <c r="C43" s="80" t="s">
        <v>391</v>
      </c>
      <c r="D43" s="80" t="s">
        <v>391</v>
      </c>
      <c r="E43" s="79" t="s">
        <v>391</v>
      </c>
      <c r="F43" s="79" t="s">
        <v>391</v>
      </c>
      <c r="G43" s="79" t="s">
        <v>391</v>
      </c>
      <c r="H43" s="79" t="s">
        <v>391</v>
      </c>
      <c r="I43" s="79" t="s">
        <v>391</v>
      </c>
      <c r="J43" s="79" t="s">
        <v>391</v>
      </c>
    </row>
    <row r="44" spans="1:10" ht="15.75" hidden="1" x14ac:dyDescent="0.25">
      <c r="A44" s="81" t="s">
        <v>410</v>
      </c>
      <c r="B44" s="83" t="s">
        <v>406</v>
      </c>
      <c r="C44" s="84" t="s">
        <v>406</v>
      </c>
      <c r="D44" s="84" t="s">
        <v>406</v>
      </c>
      <c r="E44" s="82" t="s">
        <v>404</v>
      </c>
      <c r="F44" s="83" t="s">
        <v>409</v>
      </c>
      <c r="G44" s="83" t="s">
        <v>409</v>
      </c>
      <c r="H44" s="82" t="s">
        <v>402</v>
      </c>
      <c r="I44" s="82" t="s">
        <v>408</v>
      </c>
      <c r="J44" s="82" t="s">
        <v>408</v>
      </c>
    </row>
    <row r="45" spans="1:10" ht="15.75" hidden="1" x14ac:dyDescent="0.25">
      <c r="A45" s="81" t="s">
        <v>407</v>
      </c>
      <c r="B45" s="83" t="s">
        <v>406</v>
      </c>
      <c r="C45" s="84" t="s">
        <v>405</v>
      </c>
      <c r="D45" s="84" t="s">
        <v>405</v>
      </c>
      <c r="E45" s="82" t="s">
        <v>404</v>
      </c>
      <c r="F45" s="83" t="s">
        <v>403</v>
      </c>
      <c r="G45" s="83" t="s">
        <v>403</v>
      </c>
      <c r="H45" s="82" t="s">
        <v>402</v>
      </c>
      <c r="I45" s="82" t="s">
        <v>401</v>
      </c>
      <c r="J45" s="82" t="s">
        <v>401</v>
      </c>
    </row>
    <row r="46" spans="1:10" ht="15.75" x14ac:dyDescent="0.25">
      <c r="A46" s="81" t="s">
        <v>400</v>
      </c>
      <c r="B46" s="79" t="s">
        <v>399</v>
      </c>
      <c r="C46" s="80" t="s">
        <v>399</v>
      </c>
      <c r="D46" s="80" t="s">
        <v>399</v>
      </c>
      <c r="E46" s="79" t="s">
        <v>399</v>
      </c>
      <c r="F46" s="79" t="s">
        <v>398</v>
      </c>
      <c r="G46" s="79" t="s">
        <v>398</v>
      </c>
      <c r="H46" s="79" t="s">
        <v>396</v>
      </c>
      <c r="I46" s="79" t="s">
        <v>396</v>
      </c>
      <c r="J46" s="79" t="s">
        <v>397</v>
      </c>
    </row>
    <row r="47" spans="1:10" x14ac:dyDescent="0.25">
      <c r="H47" s="85"/>
      <c r="I47" s="85"/>
      <c r="J47" s="79" t="s">
        <v>396</v>
      </c>
    </row>
    <row r="48" spans="1:10" ht="18.75" x14ac:dyDescent="0.25">
      <c r="A48" s="249" t="s">
        <v>395</v>
      </c>
      <c r="B48" s="250"/>
      <c r="C48" s="250"/>
      <c r="D48" s="250"/>
      <c r="E48" s="250"/>
      <c r="F48" s="250"/>
      <c r="G48" s="250"/>
      <c r="H48" s="250"/>
      <c r="I48" s="250"/>
      <c r="J48" s="251"/>
    </row>
    <row r="49" spans="1:10" ht="15.75" x14ac:dyDescent="0.25">
      <c r="A49" s="81" t="s">
        <v>394</v>
      </c>
      <c r="B49" s="79" t="s">
        <v>393</v>
      </c>
      <c r="C49" s="80" t="s">
        <v>393</v>
      </c>
      <c r="D49" s="79" t="s">
        <v>393</v>
      </c>
      <c r="E49" s="80" t="s">
        <v>393</v>
      </c>
      <c r="F49" s="79" t="s">
        <v>393</v>
      </c>
      <c r="G49" s="80" t="s">
        <v>393</v>
      </c>
      <c r="H49" s="79" t="s">
        <v>393</v>
      </c>
      <c r="I49" s="80" t="s">
        <v>393</v>
      </c>
      <c r="J49" s="79" t="s">
        <v>393</v>
      </c>
    </row>
    <row r="50" spans="1:10" ht="15.75" x14ac:dyDescent="0.25">
      <c r="A50" s="81" t="s">
        <v>392</v>
      </c>
      <c r="B50" s="79" t="s">
        <v>391</v>
      </c>
      <c r="C50" s="80" t="s">
        <v>391</v>
      </c>
      <c r="D50" s="80" t="s">
        <v>391</v>
      </c>
      <c r="E50" s="79" t="s">
        <v>391</v>
      </c>
      <c r="F50" s="79" t="s">
        <v>391</v>
      </c>
      <c r="G50" s="79" t="s">
        <v>391</v>
      </c>
      <c r="H50" s="79" t="s">
        <v>391</v>
      </c>
      <c r="I50" s="79" t="s">
        <v>391</v>
      </c>
      <c r="J50" s="79" t="s">
        <v>391</v>
      </c>
    </row>
    <row r="51" spans="1:10" ht="15.75" hidden="1" x14ac:dyDescent="0.25">
      <c r="A51" s="81" t="s">
        <v>390</v>
      </c>
      <c r="B51" s="83" t="s">
        <v>389</v>
      </c>
      <c r="C51" s="84" t="s">
        <v>388</v>
      </c>
      <c r="D51" s="84" t="s">
        <v>388</v>
      </c>
      <c r="E51" s="82" t="s">
        <v>387</v>
      </c>
      <c r="F51" s="83" t="s">
        <v>386</v>
      </c>
      <c r="G51" s="83" t="s">
        <v>386</v>
      </c>
      <c r="H51" s="82" t="s">
        <v>385</v>
      </c>
      <c r="I51" s="82" t="s">
        <v>384</v>
      </c>
      <c r="J51" s="82" t="s">
        <v>383</v>
      </c>
    </row>
    <row r="52" spans="1:10" ht="15.75" x14ac:dyDescent="0.25">
      <c r="A52" s="81" t="s">
        <v>382</v>
      </c>
      <c r="B52" s="79" t="s">
        <v>381</v>
      </c>
      <c r="C52" s="80" t="s">
        <v>381</v>
      </c>
      <c r="D52" s="80" t="s">
        <v>381</v>
      </c>
      <c r="E52" s="79" t="s">
        <v>381</v>
      </c>
      <c r="F52" s="79" t="s">
        <v>381</v>
      </c>
      <c r="G52" s="79" t="s">
        <v>381</v>
      </c>
      <c r="H52" s="79" t="s">
        <v>381</v>
      </c>
      <c r="I52" s="79" t="s">
        <v>381</v>
      </c>
      <c r="J52" s="79" t="s">
        <v>381</v>
      </c>
    </row>
    <row r="54" spans="1:10" ht="18.75" x14ac:dyDescent="0.25">
      <c r="A54" s="245" t="s">
        <v>380</v>
      </c>
      <c r="B54" s="246"/>
      <c r="C54" s="246"/>
      <c r="D54" s="246"/>
      <c r="E54" s="246"/>
      <c r="F54" s="246"/>
      <c r="G54" s="246"/>
      <c r="H54" s="246"/>
      <c r="I54" s="246"/>
      <c r="J54" s="247"/>
    </row>
    <row r="55" spans="1:10" x14ac:dyDescent="0.25">
      <c r="A55" s="78"/>
      <c r="B55" s="77" t="s">
        <v>379</v>
      </c>
      <c r="C55" s="77" t="s">
        <v>379</v>
      </c>
      <c r="D55" s="77" t="s">
        <v>379</v>
      </c>
      <c r="E55" s="77" t="s">
        <v>379</v>
      </c>
      <c r="F55" s="77" t="s">
        <v>379</v>
      </c>
      <c r="G55" s="77" t="s">
        <v>379</v>
      </c>
      <c r="H55" s="77" t="s">
        <v>379</v>
      </c>
      <c r="I55" s="77" t="s">
        <v>379</v>
      </c>
      <c r="J55" s="77" t="s">
        <v>379</v>
      </c>
    </row>
    <row r="56" spans="1:10" ht="18.75" x14ac:dyDescent="0.25">
      <c r="A56" s="245" t="s">
        <v>378</v>
      </c>
      <c r="B56" s="246"/>
      <c r="C56" s="246"/>
      <c r="D56" s="246"/>
      <c r="E56" s="246"/>
      <c r="F56" s="246"/>
      <c r="G56" s="246"/>
      <c r="H56" s="246"/>
      <c r="I56" s="246"/>
      <c r="J56" s="247"/>
    </row>
    <row r="57" spans="1:10" x14ac:dyDescent="0.25">
      <c r="B57" s="77" t="s">
        <v>377</v>
      </c>
      <c r="C57" s="77" t="s">
        <v>377</v>
      </c>
      <c r="D57" s="77" t="s">
        <v>377</v>
      </c>
      <c r="E57" s="77" t="s">
        <v>377</v>
      </c>
      <c r="F57" s="77" t="s">
        <v>377</v>
      </c>
      <c r="G57" s="77" t="s">
        <v>377</v>
      </c>
      <c r="H57" s="77" t="s">
        <v>377</v>
      </c>
      <c r="I57" s="77" t="s">
        <v>377</v>
      </c>
      <c r="J57" s="77" t="s">
        <v>377</v>
      </c>
    </row>
  </sheetData>
  <mergeCells count="9">
    <mergeCell ref="A54:J54"/>
    <mergeCell ref="A56:J56"/>
    <mergeCell ref="A34:J34"/>
    <mergeCell ref="A48:J48"/>
    <mergeCell ref="A1:J1"/>
    <mergeCell ref="A12:J12"/>
    <mergeCell ref="A19:J19"/>
    <mergeCell ref="A41:J41"/>
    <mergeCell ref="A28:J28"/>
  </mergeCells>
  <pageMargins left="0.7" right="0.7" top="0.78740157499999996" bottom="0.78740157499999996" header="0.3" footer="0.3"/>
  <pageSetup paperSize="8" scale="7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4</vt:i4>
      </vt:variant>
    </vt:vector>
  </HeadingPairs>
  <TitlesOfParts>
    <vt:vector size="18" baseType="lpstr">
      <vt:lpstr>SC delivery date</vt:lpstr>
      <vt:lpstr>Fermator checklist</vt:lpstr>
      <vt:lpstr>guide rails</vt:lpstr>
      <vt:lpstr>EvoLite HU</vt:lpstr>
      <vt:lpstr>simplycity HU</vt:lpstr>
      <vt:lpstr>mrl loads</vt:lpstr>
      <vt:lpstr>compensation chain</vt:lpstr>
      <vt:lpstr>mrl WH actual weight</vt:lpstr>
      <vt:lpstr>mrl cars analysis</vt:lpstr>
      <vt:lpstr>CWT 200 filler calc</vt:lpstr>
      <vt:lpstr>CWT 150 filler calc</vt:lpstr>
      <vt:lpstr>TM</vt:lpstr>
      <vt:lpstr>mr TM</vt:lpstr>
      <vt:lpstr>mrl TLD</vt:lpstr>
      <vt:lpstr>_2_4_створчатые</vt:lpstr>
      <vt:lpstr>_2_створчатые</vt:lpstr>
      <vt:lpstr>двери_evo</vt:lpstr>
      <vt:lpstr>двери_sc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2021-01-19T13:54:51Z</dcterms:modified>
</cp:coreProperties>
</file>